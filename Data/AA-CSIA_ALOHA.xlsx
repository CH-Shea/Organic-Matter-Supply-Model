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66925"/>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1164" documentId="13_ncr:1_{47D0C447-CF42-44CE-A2DC-F04BD3ED6669}" xr6:coauthVersionLast="47" xr6:coauthVersionMax="47" xr10:uidLastSave="{CD90C6A3-2597-4524-A3B5-A6614A785529}"/>
  <bookViews>
    <workbookView xWindow="57480" yWindow="-120" windowWidth="29040" windowHeight="15720" activeTab="1" xr2:uid="{8FC557E2-921B-4618-B5F4-A9A2FDF78F4B}"/>
  </bookViews>
  <sheets>
    <sheet name="READ ME" sheetId="13" r:id="rId1"/>
    <sheet name="Data" sheetId="11" r:id="rId2"/>
  </sheets>
  <definedNames>
    <definedName name="_xlnm._FilterDatabase" localSheetId="1" hidden="1">Data!$D$1:$AO$241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 i="11" l="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2" i="11"/>
</calcChain>
</file>

<file path=xl/sharedStrings.xml><?xml version="1.0" encoding="utf-8"?>
<sst xmlns="http://schemas.openxmlformats.org/spreadsheetml/2006/main" count="1160" uniqueCount="104">
  <si>
    <t>Tow</t>
  </si>
  <si>
    <t>Net</t>
  </si>
  <si>
    <t>Depth</t>
  </si>
  <si>
    <t>Size</t>
  </si>
  <si>
    <t>Event</t>
  </si>
  <si>
    <t>Day</t>
  </si>
  <si>
    <t>Night</t>
  </si>
  <si>
    <t>Epoch</t>
  </si>
  <si>
    <t>0.2-0.5 mm</t>
  </si>
  <si>
    <t>1-2 mm</t>
  </si>
  <si>
    <t>Sizemin</t>
  </si>
  <si>
    <t>Group</t>
  </si>
  <si>
    <t>Large</t>
  </si>
  <si>
    <t>Submicron</t>
  </si>
  <si>
    <t>Small</t>
  </si>
  <si>
    <t>Type</t>
  </si>
  <si>
    <t>Onc</t>
  </si>
  <si>
    <t>Oit</t>
  </si>
  <si>
    <t>Hrp</t>
  </si>
  <si>
    <t>Px</t>
  </si>
  <si>
    <t>Ost</t>
  </si>
  <si>
    <t>Cht_L</t>
  </si>
  <si>
    <t>0.06-0.2 mm</t>
  </si>
  <si>
    <t>Mixed</t>
  </si>
  <si>
    <t>Oncaeid</t>
  </si>
  <si>
    <t>Oithonid</t>
  </si>
  <si>
    <t>Ostracod</t>
  </si>
  <si>
    <t>Chaetognath</t>
  </si>
  <si>
    <t>Harpactacoid</t>
  </si>
  <si>
    <t>Gp_fo</t>
  </si>
  <si>
    <t>Gp_fr</t>
  </si>
  <si>
    <t>Winter</t>
  </si>
  <si>
    <t>Pump Cast</t>
  </si>
  <si>
    <t>Gaussia</t>
  </si>
  <si>
    <t>Supor</t>
  </si>
  <si>
    <t>0.2-0.7 μm</t>
  </si>
  <si>
    <t>GFF</t>
  </si>
  <si>
    <t>0.7-53 μm</t>
  </si>
  <si>
    <t>QMA</t>
  </si>
  <si>
    <t>1-53 μm</t>
  </si>
  <si>
    <t>Nitex</t>
  </si>
  <si>
    <t>&gt;53 μm</t>
  </si>
  <si>
    <t>Location</t>
  </si>
  <si>
    <t>ALOHA W</t>
  </si>
  <si>
    <t>Pleuromamma</t>
  </si>
  <si>
    <t>Surface</t>
  </si>
  <si>
    <t>Sizecat</t>
  </si>
  <si>
    <t>d15NAla</t>
  </si>
  <si>
    <t>d15NGly</t>
  </si>
  <si>
    <t>d15NThr</t>
  </si>
  <si>
    <t>d15NSer</t>
  </si>
  <si>
    <t>d15NVal</t>
  </si>
  <si>
    <t>d15NLeu</t>
  </si>
  <si>
    <t>d15NIle</t>
  </si>
  <si>
    <t>d15NPro</t>
  </si>
  <si>
    <t>d15NAsx</t>
  </si>
  <si>
    <t>d15NMet</t>
  </si>
  <si>
    <t>d15NGlx</t>
  </si>
  <si>
    <t>d15NPhe</t>
  </si>
  <si>
    <t>d15NTyr</t>
  </si>
  <si>
    <t>d15NLys</t>
  </si>
  <si>
    <t>SDd15NAla</t>
  </si>
  <si>
    <t>SDd15NGly</t>
  </si>
  <si>
    <t>SDd15NThr</t>
  </si>
  <si>
    <t>SDd15NSer</t>
  </si>
  <si>
    <t>SDd15NVal</t>
  </si>
  <si>
    <t>SDd15NLeu</t>
  </si>
  <si>
    <t>SDd15NIle</t>
  </si>
  <si>
    <t>SDd15NPro</t>
  </si>
  <si>
    <t>SDd15NAsx</t>
  </si>
  <si>
    <t>SDd15NMet</t>
  </si>
  <si>
    <t>SDd15NGlx</t>
  </si>
  <si>
    <t>SDd15NPhe</t>
  </si>
  <si>
    <t>SDd15NTyr</t>
  </si>
  <si>
    <t>SDd15NLys</t>
  </si>
  <si>
    <t>Taxa</t>
  </si>
  <si>
    <t>ALOHA S</t>
  </si>
  <si>
    <t>Summer</t>
  </si>
  <si>
    <t>DOM</t>
  </si>
  <si>
    <t>HMWDOM</t>
  </si>
  <si>
    <t>LMW SPE-DON</t>
  </si>
  <si>
    <t>name</t>
  </si>
  <si>
    <t>accepted values</t>
  </si>
  <si>
    <t>description</t>
  </si>
  <si>
    <t>"source" or "consumer"</t>
  </si>
  <si>
    <t>text</t>
  </si>
  <si>
    <t>Variable</t>
  </si>
  <si>
    <t>text or 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</si>
  <si>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</si>
  <si>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Tracer</t>
  </si>
  <si>
    <t>number</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</si>
  <si>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</si>
  <si>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</si>
  <si>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</si>
  <si>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</si>
  <si>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Source</t>
  </si>
  <si>
    <t>Consumer</t>
  </si>
  <si>
    <t>Bottle</t>
  </si>
  <si>
    <t>Defines if this row containes data for an organic matter source or for a consumer sample.</t>
  </si>
  <si>
    <t>If organic matter source, enter "Source". If consumer, enter "Consumer".</t>
  </si>
  <si>
    <t xml:space="preserve">For sources, defines which organic matter source group this sample belongs to. </t>
  </si>
  <si>
    <t>Source groups may also be defined programatically within the "Processing_Data" chunk. If so, leave this column blank.</t>
  </si>
  <si>
    <t>For consumers, just enter "consumer".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</si>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</sst>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theme="1"/>
      <name val="Arial"/>
      <family val="2"/>
    </font>
    <font>
      <sz val="10"/>
      <name val="Arial"/>
    </font>
    <font>
      <b/>
      <sz val="11"/>
      <name val="Calibri"/>
      <family val="2"/>
    </font>
    <font>
      <sz val="11"/>
      <color theme="1"/>
      <name val="Calibri"/>
      <family val="2"/>
      <scheme val="minor"/>
    </font>
    <font>
      <sz val="11"/>
      <color theme="1"/>
      <name val="Arial"/>
      <family val="2"/>
    </font>
    <font>
      <sz val="11"/>
      <name val="Calibri"/>
      <family val="2"/>
    </font>
    <font>
      <sz val="9"/>
      <name val="Arial"/>
      <family val="2"/>
    </font>
  </fonts>
  <fills count="9">
    <fill>
      <patternFill patternType="none"/>
    </fill>
    <fill>
      <patternFill patternType="gray125"/>
    </fill>
    <fill>
      <patternFill patternType="solid">
        <fgColor theme="7"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CC"/>
        <bgColor indexed="64"/>
      </patternFill>
    </fill>
  </fills>
  <borders count="4">
    <border>
      <left/>
      <right/>
      <top/>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0" fontId="2" fillId="0" borderId="0"/>
    <xf numFmtId="0" fontId="4" fillId="2" borderId="0" applyNumberFormat="0" applyBorder="0" applyAlignment="0" applyProtection="0"/>
    <xf numFmtId="0" fontId="4" fillId="3" borderId="0" applyNumberFormat="0" applyBorder="0" applyAlignment="0" applyProtection="0"/>
  </cellStyleXfs>
  <cellXfs count="54">
    <xf numFmtId="0" fontId="0" fillId="0" borderId="0" xfId="0"/>
    <xf numFmtId="0" fontId="1" fillId="4" borderId="0" xfId="0" applyFont="1" applyFill="1"/>
    <xf numFmtId="0" fontId="0" fillId="4" borderId="0" xfId="0" applyFill="1"/>
    <xf numFmtId="0" fontId="1" fillId="5" borderId="0" xfId="0" applyFont="1" applyFill="1"/>
    <xf numFmtId="0" fontId="0" fillId="5" borderId="0" xfId="0" applyFill="1"/>
    <xf numFmtId="0" fontId="5" fillId="5" borderId="0" xfId="0" applyFont="1" applyFill="1"/>
    <xf numFmtId="0" fontId="6" fillId="5" borderId="0" xfId="0" applyFont="1" applyFill="1"/>
    <xf numFmtId="0" fontId="4" fillId="5" borderId="0" xfId="0" applyFont="1" applyFill="1"/>
    <xf numFmtId="0" fontId="7" fillId="5" borderId="0" xfId="0" applyFont="1" applyFill="1" applyAlignment="1">
      <alignment horizontal="right"/>
    </xf>
    <xf numFmtId="0" fontId="7" fillId="5" borderId="0" xfId="0" applyFont="1" applyFill="1" applyAlignment="1">
      <alignment horizontal="left"/>
    </xf>
    <xf numFmtId="0" fontId="7" fillId="5" borderId="0" xfId="0" applyFont="1" applyFill="1"/>
    <xf numFmtId="0" fontId="6" fillId="5" borderId="0" xfId="0" applyFont="1" applyFill="1" applyAlignment="1">
      <alignment horizontal="left"/>
    </xf>
    <xf numFmtId="0" fontId="4" fillId="5" borderId="0" xfId="0" applyFont="1" applyFill="1" applyAlignment="1">
      <alignment horizontal="left"/>
    </xf>
    <xf numFmtId="0" fontId="3" fillId="6" borderId="0" xfId="0" applyFont="1" applyFill="1"/>
    <xf numFmtId="0" fontId="4" fillId="6" borderId="0" xfId="3" applyFill="1"/>
    <xf numFmtId="0" fontId="4" fillId="6" borderId="0" xfId="2" applyFill="1"/>
    <xf numFmtId="2" fontId="4" fillId="6" borderId="0" xfId="0" applyNumberFormat="1" applyFont="1" applyFill="1"/>
    <xf numFmtId="164" fontId="7" fillId="6" borderId="1" xfId="0" applyNumberFormat="1" applyFont="1" applyFill="1" applyBorder="1" applyAlignment="1">
      <alignment horizontal="right"/>
    </xf>
    <xf numFmtId="164" fontId="7" fillId="6" borderId="0" xfId="0" applyNumberFormat="1" applyFont="1" applyFill="1" applyAlignment="1">
      <alignment horizontal="right"/>
    </xf>
    <xf numFmtId="164" fontId="7" fillId="6" borderId="1" xfId="1" applyNumberFormat="1" applyFont="1" applyFill="1" applyBorder="1" applyAlignment="1">
      <alignment horizontal="right"/>
    </xf>
    <xf numFmtId="164" fontId="7" fillId="6" borderId="0" xfId="1" applyNumberFormat="1" applyFont="1" applyFill="1" applyAlignment="1">
      <alignment horizontal="right"/>
    </xf>
    <xf numFmtId="164" fontId="7" fillId="6" borderId="1" xfId="0" applyNumberFormat="1" applyFont="1" applyFill="1" applyBorder="1"/>
    <xf numFmtId="164" fontId="7" fillId="6" borderId="0" xfId="0" applyNumberFormat="1" applyFont="1" applyFill="1"/>
    <xf numFmtId="0" fontId="0" fillId="6" borderId="0" xfId="0" applyFill="1"/>
    <xf numFmtId="0" fontId="3" fillId="7" borderId="0" xfId="0" applyFont="1" applyFill="1"/>
    <xf numFmtId="0" fontId="4" fillId="7" borderId="0" xfId="3" applyFill="1"/>
    <xf numFmtId="0" fontId="4" fillId="7" borderId="0" xfId="2" applyFill="1"/>
    <xf numFmtId="2" fontId="6" fillId="7" borderId="0" xfId="0" applyNumberFormat="1" applyFont="1" applyFill="1"/>
    <xf numFmtId="2" fontId="4" fillId="7" borderId="0" xfId="0" applyNumberFormat="1" applyFont="1" applyFill="1"/>
    <xf numFmtId="164" fontId="7" fillId="7" borderId="1" xfId="0" applyNumberFormat="1" applyFont="1" applyFill="1" applyBorder="1" applyAlignment="1">
      <alignment horizontal="right"/>
    </xf>
    <xf numFmtId="164" fontId="7" fillId="7" borderId="0" xfId="0" applyNumberFormat="1" applyFont="1" applyFill="1" applyAlignment="1">
      <alignment horizontal="right"/>
    </xf>
    <xf numFmtId="164" fontId="7" fillId="7" borderId="1" xfId="0" applyNumberFormat="1" applyFont="1" applyFill="1" applyBorder="1"/>
    <xf numFmtId="164" fontId="7" fillId="7" borderId="0" xfId="0" applyNumberFormat="1" applyFont="1" applyFill="1"/>
    <xf numFmtId="0" fontId="0" fillId="7" borderId="0" xfId="0" applyFill="1"/>
    <xf numFmtId="0" fontId="0" fillId="0" borderId="2" xfId="0" applyBorder="1"/>
    <xf numFmtId="0" fontId="0" fillId="8" borderId="0" xfId="0" applyFill="1"/>
    <xf numFmtId="0" fontId="0" fillId="4" borderId="3" xfId="0" applyFill="1" applyBorder="1" applyAlignment="1">
      <alignment vertical="top"/>
    </xf>
    <xf numFmtId="0" fontId="0" fillId="4" borderId="2" xfId="0" applyFill="1" applyBorder="1" applyAlignment="1">
      <alignment vertical="top"/>
    </xf>
    <xf numFmtId="0" fontId="0" fillId="4" borderId="2" xfId="0" applyFill="1" applyBorder="1"/>
    <xf numFmtId="0" fontId="0" fillId="5" borderId="0" xfId="0" applyFill="1" applyAlignment="1">
      <alignment horizontal="left" vertical="center"/>
    </xf>
    <xf numFmtId="0" fontId="0" fillId="5" borderId="2" xfId="0" applyFill="1" applyBorder="1" applyAlignment="1">
      <alignment horizontal="left" vertical="center"/>
    </xf>
    <xf numFmtId="0" fontId="0" fillId="5" borderId="0" xfId="0" applyFill="1" applyAlignment="1">
      <alignment horizontal="left" vertical="top" wrapText="1"/>
    </xf>
    <xf numFmtId="0" fontId="0" fillId="5" borderId="2" xfId="0" applyFill="1" applyBorder="1" applyAlignment="1">
      <alignment horizontal="left" vertical="top" wrapText="1"/>
    </xf>
    <xf numFmtId="0" fontId="0" fillId="4" borderId="3" xfId="0" applyFill="1" applyBorder="1" applyAlignment="1">
      <alignment horizontal="left" vertical="center"/>
    </xf>
    <xf numFmtId="0" fontId="0" fillId="4" borderId="2" xfId="0" applyFill="1" applyBorder="1" applyAlignment="1">
      <alignment horizontal="left" vertical="center"/>
    </xf>
    <xf numFmtId="0" fontId="0" fillId="4" borderId="0" xfId="0" applyFill="1" applyAlignment="1">
      <alignment horizontal="left" vertical="center"/>
    </xf>
    <xf numFmtId="0" fontId="0" fillId="6" borderId="0" xfId="0" applyFill="1" applyAlignment="1">
      <alignment horizontal="left" vertical="center"/>
    </xf>
    <xf numFmtId="0" fontId="0" fillId="6" borderId="2" xfId="0" applyFill="1" applyBorder="1" applyAlignment="1">
      <alignment horizontal="left" vertical="center"/>
    </xf>
    <xf numFmtId="0" fontId="0" fillId="6" borderId="0" xfId="0" applyFill="1" applyAlignment="1">
      <alignment horizontal="left" vertical="top" wrapText="1"/>
    </xf>
    <xf numFmtId="0" fontId="0" fillId="6" borderId="2" xfId="0" applyFill="1" applyBorder="1" applyAlignment="1">
      <alignment horizontal="left" vertical="top" wrapText="1"/>
    </xf>
    <xf numFmtId="0" fontId="0" fillId="8" borderId="0" xfId="0" applyFill="1" applyAlignment="1">
      <alignment horizontal="left" vertical="center"/>
    </xf>
    <xf numFmtId="0" fontId="0" fillId="8" borderId="2" xfId="0" applyFill="1" applyBorder="1" applyAlignment="1">
      <alignment horizontal="left" vertical="center"/>
    </xf>
    <xf numFmtId="0" fontId="0" fillId="8" borderId="0" xfId="0" applyFill="1" applyAlignment="1">
      <alignment horizontal="left" vertical="top" wrapText="1"/>
    </xf>
    <xf numFmtId="0" fontId="0" fillId="8" borderId="2" xfId="0" applyFill="1" applyBorder="1" applyAlignment="1">
      <alignment horizontal="left" vertical="top" wrapText="1"/>
    </xf>
  </cellXfs>
  <cellStyles count="4">
    <cellStyle name="20% - Accent4" xfId="2" builtinId="42"/>
    <cellStyle name="20% - Accent6" xfId="3" builtinId="50"/>
    <cellStyle name="Normal" xfId="0" builtinId="0"/>
    <cellStyle name="Normal 2" xfId="1" xr:uid="{3FE1DD06-1C66-42CD-A68A-D5236BC0AF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41</xdr:col>
      <xdr:colOff>0</xdr:colOff>
      <xdr:row>35</xdr:row>
      <xdr:rowOff>80433</xdr:rowOff>
    </xdr:from>
    <xdr:ext cx="65" cy="172227"/>
    <xdr:sp macro="" textlink="">
      <xdr:nvSpPr>
        <xdr:cNvPr id="2" name="TextBox 1">
          <a:extLst>
            <a:ext uri="{FF2B5EF4-FFF2-40B4-BE49-F238E27FC236}">
              <a16:creationId xmlns:a16="http://schemas.microsoft.com/office/drawing/2014/main" id="{0203DF90-A8CD-4F63-A93B-765E85E2DA4C}"/>
            </a:ext>
          </a:extLst>
        </xdr:cNvPr>
        <xdr:cNvSpPr txBox="1"/>
      </xdr:nvSpPr>
      <xdr:spPr>
        <a:xfrm>
          <a:off x="26549350" y="64494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CEE1-5106-4132-B432-32A94A42883E}">
  <dimension ref="A1:C13"/>
  <sheetViews>
    <sheetView workbookViewId="0">
      <selection activeCell="B18" sqref="B18"/>
    </sheetView>
  </sheetViews>
  <sheetFormatPr defaultRowHeight="14.75" x14ac:dyDescent="0.75"/>
  <cols>
    <col min="2" max="2" width="21.5" customWidth="1"/>
    <col min="3" max="3" width="137.04296875" customWidth="1"/>
  </cols>
  <sheetData>
    <row r="1" spans="1:3" x14ac:dyDescent="0.75">
      <c r="A1" s="34" t="s">
        <v>81</v>
      </c>
      <c r="B1" s="34" t="s">
        <v>82</v>
      </c>
      <c r="C1" s="34" t="s">
        <v>83</v>
      </c>
    </row>
    <row r="2" spans="1:3" s="2" customFormat="1" x14ac:dyDescent="0.75">
      <c r="A2" s="43" t="s">
        <v>15</v>
      </c>
      <c r="B2" s="43" t="s">
        <v>84</v>
      </c>
      <c r="C2" s="36" t="s">
        <v>98</v>
      </c>
    </row>
    <row r="3" spans="1:3" s="2" customFormat="1" x14ac:dyDescent="0.75">
      <c r="A3" s="44"/>
      <c r="B3" s="44"/>
      <c r="C3" s="37" t="s">
        <v>99</v>
      </c>
    </row>
    <row r="4" spans="1:3" s="2" customFormat="1" x14ac:dyDescent="0.75">
      <c r="A4" s="45" t="s">
        <v>11</v>
      </c>
      <c r="B4" s="45" t="s">
        <v>85</v>
      </c>
      <c r="C4" s="2" t="s">
        <v>100</v>
      </c>
    </row>
    <row r="5" spans="1:3" s="2" customFormat="1" ht="14.75" customHeight="1" x14ac:dyDescent="0.75">
      <c r="A5" s="45"/>
      <c r="B5" s="45"/>
      <c r="C5" s="2" t="s">
        <v>101</v>
      </c>
    </row>
    <row r="6" spans="1:3" s="2" customFormat="1" x14ac:dyDescent="0.75">
      <c r="A6" s="44"/>
      <c r="B6" s="44"/>
      <c r="C6" s="38" t="s">
        <v>102</v>
      </c>
    </row>
    <row r="7" spans="1:3" s="35" customFormat="1" ht="14.75" customHeight="1" x14ac:dyDescent="0.75">
      <c r="A7" s="39" t="s">
        <v>86</v>
      </c>
      <c r="B7" s="39" t="s">
        <v>87</v>
      </c>
      <c r="C7" s="41" t="s">
        <v>88</v>
      </c>
    </row>
    <row r="8" spans="1:3" s="35" customFormat="1" x14ac:dyDescent="0.75">
      <c r="A8" s="40"/>
      <c r="B8" s="40"/>
      <c r="C8" s="42"/>
    </row>
    <row r="9" spans="1:3" s="23" customFormat="1" ht="14.75" customHeight="1" x14ac:dyDescent="0.75">
      <c r="A9" s="50" t="s">
        <v>89</v>
      </c>
      <c r="B9" s="50" t="s">
        <v>90</v>
      </c>
      <c r="C9" s="52" t="s">
        <v>91</v>
      </c>
    </row>
    <row r="10" spans="1:3" s="23" customFormat="1" x14ac:dyDescent="0.75">
      <c r="A10" s="51"/>
      <c r="B10" s="51"/>
      <c r="C10" s="53"/>
    </row>
    <row r="11" spans="1:3" x14ac:dyDescent="0.75">
      <c r="A11" s="46" t="s">
        <v>92</v>
      </c>
      <c r="B11" s="46" t="s">
        <v>90</v>
      </c>
      <c r="C11" s="48" t="s">
        <v>93</v>
      </c>
    </row>
    <row r="12" spans="1:3" x14ac:dyDescent="0.75">
      <c r="A12" s="47"/>
      <c r="B12" s="47"/>
      <c r="C12" s="49"/>
    </row>
    <row r="13" spans="1:3" x14ac:dyDescent="0.75">
      <c r="C13" t="s">
        <v>94</v>
      </c>
    </row>
  </sheetData>
  <mergeCells count="13">
    <mergeCell ref="A11:A12"/>
    <mergeCell ref="B11:B12"/>
    <mergeCell ref="C11:C12"/>
    <mergeCell ref="A9:A10"/>
    <mergeCell ref="B9:B10"/>
    <mergeCell ref="C9:C10"/>
    <mergeCell ref="A7:A8"/>
    <mergeCell ref="B7:B8"/>
    <mergeCell ref="C7:C8"/>
    <mergeCell ref="A2:A3"/>
    <mergeCell ref="B2:B3"/>
    <mergeCell ref="A4:A6"/>
    <mergeCell ref="B4: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6732-0927-4AD5-8412-620223DD4704}">
  <dimension ref="A1:AO131"/>
  <sheetViews>
    <sheetView tabSelected="1" zoomScale="70" zoomScaleNormal="70" workbookViewId="0">
      <pane xSplit="13" ySplit="1" topLeftCell="N105" activePane="bottomRight" state="frozen"/>
      <selection pane="topRight" activeCell="J1" sqref="J1"/>
      <selection pane="bottomLeft" activeCell="A2" sqref="A2"/>
      <selection pane="bottomRight" activeCell="M115" sqref="M115"/>
    </sheetView>
  </sheetViews>
  <sheetFormatPr defaultRowHeight="14.75" x14ac:dyDescent="0.75"/>
  <cols>
    <col min="1" max="1" width="11.1328125" style="2" customWidth="1"/>
    <col min="2" max="2" width="11.453125" style="2" bestFit="1" customWidth="1"/>
    <col min="3" max="3" width="32.90625" style="2" bestFit="1" customWidth="1"/>
    <col min="4" max="5" width="9.54296875" style="4" bestFit="1" customWidth="1"/>
    <col min="6" max="6" width="7.7265625" style="4" bestFit="1" customWidth="1"/>
    <col min="7" max="7" width="8.86328125" style="4" bestFit="1" customWidth="1"/>
    <col min="8" max="8" width="6" style="4" customWidth="1"/>
    <col min="9" max="9" width="9.08984375" style="4" bestFit="1" customWidth="1"/>
    <col min="10" max="10" width="10.953125" style="4" bestFit="1" customWidth="1"/>
    <col min="11" max="11" width="11.6328125" style="4" customWidth="1"/>
    <col min="12" max="12" width="11.7265625" style="4" customWidth="1"/>
    <col min="13" max="13" width="11.453125" style="4" bestFit="1" customWidth="1"/>
    <col min="14" max="27" width="9.58984375" style="33" customWidth="1"/>
    <col min="28" max="41" width="9.58984375" style="23" customWidth="1"/>
  </cols>
  <sheetData>
    <row r="1" spans="1:41" x14ac:dyDescent="0.75">
      <c r="A1" s="1" t="s">
        <v>15</v>
      </c>
      <c r="B1" s="1" t="s">
        <v>95</v>
      </c>
      <c r="C1" s="1" t="s">
        <v>103</v>
      </c>
      <c r="D1" s="3" t="s">
        <v>42</v>
      </c>
      <c r="E1" s="3" t="s">
        <v>7</v>
      </c>
      <c r="F1" s="3" t="s">
        <v>0</v>
      </c>
      <c r="G1" s="3" t="s">
        <v>4</v>
      </c>
      <c r="H1" s="3" t="s">
        <v>1</v>
      </c>
      <c r="I1" s="3" t="s">
        <v>2</v>
      </c>
      <c r="J1" s="3" t="s">
        <v>10</v>
      </c>
      <c r="K1" s="3" t="s">
        <v>3</v>
      </c>
      <c r="L1" s="3" t="s">
        <v>46</v>
      </c>
      <c r="M1" s="3" t="s">
        <v>11</v>
      </c>
      <c r="N1" s="24" t="s">
        <v>47</v>
      </c>
      <c r="O1" s="24" t="s">
        <v>48</v>
      </c>
      <c r="P1" s="25" t="s">
        <v>49</v>
      </c>
      <c r="Q1" s="24" t="s">
        <v>50</v>
      </c>
      <c r="R1" s="25" t="s">
        <v>51</v>
      </c>
      <c r="S1" s="25" t="s">
        <v>52</v>
      </c>
      <c r="T1" s="25" t="s">
        <v>53</v>
      </c>
      <c r="U1" s="24" t="s">
        <v>54</v>
      </c>
      <c r="V1" s="24" t="s">
        <v>55</v>
      </c>
      <c r="W1" s="26" t="s">
        <v>56</v>
      </c>
      <c r="X1" s="24" t="s">
        <v>57</v>
      </c>
      <c r="Y1" s="25" t="s">
        <v>58</v>
      </c>
      <c r="Z1" s="24" t="s">
        <v>59</v>
      </c>
      <c r="AA1" s="25" t="s">
        <v>60</v>
      </c>
      <c r="AB1" s="13" t="s">
        <v>61</v>
      </c>
      <c r="AC1" s="13" t="s">
        <v>62</v>
      </c>
      <c r="AD1" s="14" t="s">
        <v>63</v>
      </c>
      <c r="AE1" s="13" t="s">
        <v>64</v>
      </c>
      <c r="AF1" s="14" t="s">
        <v>65</v>
      </c>
      <c r="AG1" s="14" t="s">
        <v>66</v>
      </c>
      <c r="AH1" s="14" t="s">
        <v>67</v>
      </c>
      <c r="AI1" s="13" t="s">
        <v>68</v>
      </c>
      <c r="AJ1" s="13" t="s">
        <v>69</v>
      </c>
      <c r="AK1" s="15" t="s">
        <v>70</v>
      </c>
      <c r="AL1" s="13" t="s">
        <v>71</v>
      </c>
      <c r="AM1" s="14" t="s">
        <v>72</v>
      </c>
      <c r="AN1" s="13" t="s">
        <v>73</v>
      </c>
      <c r="AO1" s="14" t="s">
        <v>74</v>
      </c>
    </row>
    <row r="2" spans="1:41" x14ac:dyDescent="0.75">
      <c r="A2" s="2" t="s">
        <v>95</v>
      </c>
      <c r="B2" s="2" t="s">
        <v>45</v>
      </c>
      <c r="C2" s="2" t="str">
        <f>_xlfn.CONCAT(G2,"_",I2,"m_",K2)</f>
        <v>Pump Cast_25m_0.2-0.7 μm</v>
      </c>
      <c r="D2" s="4" t="s">
        <v>43</v>
      </c>
      <c r="E2" s="5" t="s">
        <v>31</v>
      </c>
      <c r="G2" s="4" t="s">
        <v>32</v>
      </c>
      <c r="I2" s="4">
        <v>25</v>
      </c>
      <c r="J2" s="4" t="s">
        <v>34</v>
      </c>
      <c r="K2" s="4" t="s">
        <v>35</v>
      </c>
      <c r="L2" s="4" t="s">
        <v>13</v>
      </c>
      <c r="M2" s="4" t="s">
        <v>45</v>
      </c>
      <c r="N2" s="27">
        <v>2.4471666666666669</v>
      </c>
      <c r="O2" s="27">
        <v>-3.0676666666666668</v>
      </c>
      <c r="P2" s="27">
        <v>-0.2457499999999998</v>
      </c>
      <c r="Q2" s="27">
        <v>-3.5631666666666666</v>
      </c>
      <c r="R2" s="27">
        <v>0.81124999999999992</v>
      </c>
      <c r="S2" s="27">
        <v>-1.3130833333333334</v>
      </c>
      <c r="T2" s="27">
        <v>-1.1169166666666661</v>
      </c>
      <c r="U2" s="27">
        <v>3.9469999999999996</v>
      </c>
      <c r="V2" s="27">
        <v>1.6890833333333344</v>
      </c>
      <c r="W2" s="27">
        <v>0.73899999999999999</v>
      </c>
      <c r="X2" s="27">
        <v>2.3220833333333331</v>
      </c>
      <c r="Y2" s="27">
        <v>-0.9154166666666661</v>
      </c>
      <c r="Z2" s="27">
        <v>0.44758333333333289</v>
      </c>
      <c r="AA2" s="27">
        <v>-1.4659999999999997</v>
      </c>
      <c r="AB2" s="16">
        <v>0.6073370837791251</v>
      </c>
      <c r="AC2" s="16">
        <v>0.6430756824304118</v>
      </c>
      <c r="AD2" s="16">
        <v>0.23800630243756105</v>
      </c>
      <c r="AE2" s="16">
        <v>0.42204778560411027</v>
      </c>
      <c r="AF2" s="16">
        <v>2.1166010488516743E-2</v>
      </c>
      <c r="AG2" s="16">
        <v>0.46650437654252852</v>
      </c>
      <c r="AH2" s="16">
        <v>0.30274466689494917</v>
      </c>
      <c r="AI2" s="16">
        <v>0.51182711925023561</v>
      </c>
      <c r="AJ2" s="16">
        <v>0.25397703308238984</v>
      </c>
      <c r="AK2" s="16"/>
      <c r="AL2" s="16">
        <v>0.19186540421173728</v>
      </c>
      <c r="AM2" s="16">
        <v>0.27313244650413382</v>
      </c>
      <c r="AN2" s="16">
        <v>0.15986973864159956</v>
      </c>
      <c r="AO2" s="16">
        <v>0.4714046386421471</v>
      </c>
    </row>
    <row r="3" spans="1:41" x14ac:dyDescent="0.75">
      <c r="A3" s="2" t="s">
        <v>95</v>
      </c>
      <c r="B3" s="2" t="s">
        <v>13</v>
      </c>
      <c r="C3" s="2" t="str">
        <f t="shared" ref="C3:C66" si="0">_xlfn.CONCAT(G3,"_",I3,"m_",K3)</f>
        <v>Pump Cast_120m_0.2-0.7 μm</v>
      </c>
      <c r="D3" s="4" t="s">
        <v>43</v>
      </c>
      <c r="E3" s="5" t="s">
        <v>31</v>
      </c>
      <c r="G3" s="4" t="s">
        <v>32</v>
      </c>
      <c r="I3" s="4">
        <v>120</v>
      </c>
      <c r="J3" s="4" t="s">
        <v>34</v>
      </c>
      <c r="K3" s="4" t="s">
        <v>35</v>
      </c>
      <c r="L3" s="4" t="s">
        <v>13</v>
      </c>
      <c r="M3" s="4" t="s">
        <v>13</v>
      </c>
      <c r="N3" s="27"/>
      <c r="O3" s="27"/>
      <c r="P3" s="27">
        <v>2.7138007015622789</v>
      </c>
      <c r="Q3" s="27">
        <v>-0.78022516857943625</v>
      </c>
      <c r="R3" s="27"/>
      <c r="S3" s="27">
        <v>3.8909522468879616</v>
      </c>
      <c r="T3" s="27"/>
      <c r="U3" s="27">
        <v>5.177692521010794</v>
      </c>
      <c r="V3" s="27">
        <v>5.1932035410866977</v>
      </c>
      <c r="W3" s="27">
        <v>6.1454452953117702</v>
      </c>
      <c r="X3" s="27">
        <v>7.5798774562442981</v>
      </c>
      <c r="Y3" s="27">
        <v>1.491127684274703</v>
      </c>
      <c r="Z3" s="27">
        <v>3.9462524054194463</v>
      </c>
      <c r="AA3" s="27">
        <v>1.6880502000209647</v>
      </c>
      <c r="AB3" s="16"/>
      <c r="AC3" s="16">
        <v>0.3959344066615868</v>
      </c>
      <c r="AD3" s="16">
        <v>0.12970570911458049</v>
      </c>
      <c r="AE3" s="16">
        <v>0.29301564034197847</v>
      </c>
      <c r="AF3" s="16"/>
      <c r="AG3" s="16">
        <v>0.38381521603966795</v>
      </c>
      <c r="AH3" s="16"/>
      <c r="AI3" s="16">
        <v>6.5138220434991415E-2</v>
      </c>
      <c r="AJ3" s="16">
        <v>0.25694408328920909</v>
      </c>
      <c r="AK3" s="16">
        <v>1.5658154495145704</v>
      </c>
      <c r="AL3" s="16">
        <v>0.21295554838920885</v>
      </c>
      <c r="AM3" s="16">
        <v>0.15863239380219921</v>
      </c>
      <c r="AN3" s="16">
        <v>1.0351054377465481</v>
      </c>
      <c r="AO3" s="16">
        <v>0.44828352618151429</v>
      </c>
    </row>
    <row r="4" spans="1:41" x14ac:dyDescent="0.75">
      <c r="A4" s="2" t="s">
        <v>95</v>
      </c>
      <c r="B4" s="2" t="s">
        <v>13</v>
      </c>
      <c r="C4" s="2" t="str">
        <f t="shared" si="0"/>
        <v>Pump Cast_150m_0.2-0.7 μm</v>
      </c>
      <c r="D4" s="4" t="s">
        <v>43</v>
      </c>
      <c r="E4" s="5" t="s">
        <v>31</v>
      </c>
      <c r="G4" s="4" t="s">
        <v>32</v>
      </c>
      <c r="I4" s="4">
        <v>150</v>
      </c>
      <c r="J4" s="4" t="s">
        <v>34</v>
      </c>
      <c r="K4" s="4" t="s">
        <v>35</v>
      </c>
      <c r="L4" s="4" t="s">
        <v>13</v>
      </c>
      <c r="M4" s="4" t="s">
        <v>13</v>
      </c>
      <c r="N4" s="27">
        <v>14.048945344679666</v>
      </c>
      <c r="O4" s="27">
        <v>-0.19482695713998952</v>
      </c>
      <c r="P4" s="27">
        <v>3.7540904905562118</v>
      </c>
      <c r="Q4" s="27">
        <v>1.4185582876325633</v>
      </c>
      <c r="R4" s="27">
        <v>9.1279198445718333</v>
      </c>
      <c r="S4" s="27">
        <v>5.1061527731472944</v>
      </c>
      <c r="T4" s="27">
        <v>7.1987415061145112</v>
      </c>
      <c r="U4" s="27">
        <v>6.4665693703861225</v>
      </c>
      <c r="V4" s="27">
        <v>8.4876451699686424</v>
      </c>
      <c r="W4" s="27">
        <v>6.6928042110470622</v>
      </c>
      <c r="X4" s="27">
        <v>11.495532615742823</v>
      </c>
      <c r="Y4" s="27">
        <v>2.7836533010741284</v>
      </c>
      <c r="Z4" s="27">
        <v>5.3915361615142707</v>
      </c>
      <c r="AA4" s="27">
        <v>2.7191579919935358</v>
      </c>
      <c r="AB4" s="16">
        <v>0.18390395169189089</v>
      </c>
      <c r="AC4" s="16">
        <v>0.13290451683047405</v>
      </c>
      <c r="AD4" s="16">
        <v>0.14627486469584625</v>
      </c>
      <c r="AE4" s="16">
        <v>0.28753274243169374</v>
      </c>
      <c r="AF4" s="16">
        <v>0.61867963848269492</v>
      </c>
      <c r="AG4" s="16">
        <v>0.58564915988113753</v>
      </c>
      <c r="AH4" s="16">
        <v>0.27663677805713471</v>
      </c>
      <c r="AI4" s="16">
        <v>8.1038746853990012E-2</v>
      </c>
      <c r="AJ4" s="16">
        <v>0.51117134267530029</v>
      </c>
      <c r="AK4" s="16">
        <v>0.99300906308182024</v>
      </c>
      <c r="AL4" s="16">
        <v>0.29226616680886858</v>
      </c>
      <c r="AM4" s="16">
        <v>0.53002384759554344</v>
      </c>
      <c r="AN4" s="16">
        <v>1.1402203196046548</v>
      </c>
      <c r="AO4" s="16">
        <v>0.24472592655325817</v>
      </c>
    </row>
    <row r="5" spans="1:41" x14ac:dyDescent="0.75">
      <c r="A5" s="2" t="s">
        <v>95</v>
      </c>
      <c r="B5" s="2" t="s">
        <v>13</v>
      </c>
      <c r="C5" s="2" t="str">
        <f t="shared" si="0"/>
        <v>Pump Cast_400m_0.2-0.7 μm</v>
      </c>
      <c r="D5" s="4" t="s">
        <v>43</v>
      </c>
      <c r="E5" s="5" t="s">
        <v>31</v>
      </c>
      <c r="G5" s="4" t="s">
        <v>32</v>
      </c>
      <c r="I5" s="4">
        <v>400</v>
      </c>
      <c r="J5" s="4" t="s">
        <v>34</v>
      </c>
      <c r="K5" s="4" t="s">
        <v>35</v>
      </c>
      <c r="L5" s="4" t="s">
        <v>13</v>
      </c>
      <c r="M5" s="4" t="s">
        <v>13</v>
      </c>
      <c r="N5" s="27">
        <v>14.699934656070575</v>
      </c>
      <c r="O5" s="27">
        <v>4.3132656591653449</v>
      </c>
      <c r="P5" s="27">
        <v>7.872469377536139</v>
      </c>
      <c r="Q5" s="27">
        <v>6.3159118566729111</v>
      </c>
      <c r="R5" s="27">
        <v>13.661437500929765</v>
      </c>
      <c r="S5" s="27">
        <v>7.8083059377448292</v>
      </c>
      <c r="T5" s="27">
        <v>10.089333196780823</v>
      </c>
      <c r="U5" s="27">
        <v>10.884756156733395</v>
      </c>
      <c r="V5" s="27">
        <v>11.875385348855295</v>
      </c>
      <c r="W5" s="27">
        <v>7.8001581993586315</v>
      </c>
      <c r="X5" s="27">
        <v>14.751876488282585</v>
      </c>
      <c r="Y5" s="27">
        <v>8.1909101527967074</v>
      </c>
      <c r="Z5" s="27">
        <v>9.4819871979096533</v>
      </c>
      <c r="AA5" s="27">
        <v>7.4667799037233671</v>
      </c>
      <c r="AB5" s="16">
        <v>0.39210373725811165</v>
      </c>
      <c r="AC5" s="16">
        <v>0.65274166917835197</v>
      </c>
      <c r="AD5" s="16">
        <v>0.18862278327807619</v>
      </c>
      <c r="AE5" s="16">
        <v>0.36659352783262811</v>
      </c>
      <c r="AF5" s="16">
        <v>0.31350931456918646</v>
      </c>
      <c r="AG5" s="16">
        <v>0.47176478240519054</v>
      </c>
      <c r="AH5" s="16">
        <v>0.23448278872465109</v>
      </c>
      <c r="AI5" s="16">
        <v>0.20396402251951046</v>
      </c>
      <c r="AJ5" s="16">
        <v>0.27735490679395236</v>
      </c>
      <c r="AK5" s="16">
        <v>0.79575542460916637</v>
      </c>
      <c r="AL5" s="16">
        <v>0.20171138452146284</v>
      </c>
      <c r="AM5" s="16">
        <v>0.33940693311952652</v>
      </c>
      <c r="AN5" s="16">
        <v>1.4407008633646943</v>
      </c>
      <c r="AO5" s="16">
        <v>0.52965815920854031</v>
      </c>
    </row>
    <row r="6" spans="1:41" x14ac:dyDescent="0.75">
      <c r="A6" s="2" t="s">
        <v>95</v>
      </c>
      <c r="B6" s="2" t="s">
        <v>45</v>
      </c>
      <c r="C6" s="2" t="str">
        <f t="shared" si="0"/>
        <v>Pump Cast_25m_0.7-53 μm</v>
      </c>
      <c r="D6" s="4" t="s">
        <v>43</v>
      </c>
      <c r="E6" s="5" t="s">
        <v>31</v>
      </c>
      <c r="G6" s="4" t="s">
        <v>32</v>
      </c>
      <c r="I6" s="4">
        <v>25</v>
      </c>
      <c r="J6" s="4" t="s">
        <v>36</v>
      </c>
      <c r="K6" s="4" t="s">
        <v>37</v>
      </c>
      <c r="L6" s="4" t="s">
        <v>14</v>
      </c>
      <c r="M6" s="4" t="s">
        <v>45</v>
      </c>
      <c r="N6" s="27">
        <v>2.803984866340846</v>
      </c>
      <c r="O6" s="27">
        <v>-1.6066036386799245</v>
      </c>
      <c r="P6" s="27">
        <v>-2.0367443325337611</v>
      </c>
      <c r="Q6" s="27">
        <v>-3.3370297693471045</v>
      </c>
      <c r="R6" s="27">
        <v>1.4477369038805938</v>
      </c>
      <c r="S6" s="27">
        <v>0.56139934814237413</v>
      </c>
      <c r="T6" s="27">
        <v>0.51499702535527814</v>
      </c>
      <c r="U6" s="27">
        <v>3.0583099226208503</v>
      </c>
      <c r="V6" s="27">
        <v>1.1273514948566643</v>
      </c>
      <c r="W6" s="27">
        <v>0.84097221344683293</v>
      </c>
      <c r="X6" s="27">
        <v>2.0271551969844044</v>
      </c>
      <c r="Y6" s="27">
        <v>-1.2505242677045638</v>
      </c>
      <c r="Z6" s="27">
        <v>-2.125195719181435</v>
      </c>
      <c r="AA6" s="27">
        <v>-1.1066866968711411</v>
      </c>
      <c r="AB6" s="16">
        <v>0.17988502469669088</v>
      </c>
      <c r="AC6" s="16">
        <v>0.25698969573208558</v>
      </c>
      <c r="AD6" s="16">
        <v>0.20654240971089052</v>
      </c>
      <c r="AE6" s="16">
        <v>0.21431872517148395</v>
      </c>
      <c r="AF6" s="16">
        <v>0.29465664368188765</v>
      </c>
      <c r="AG6" s="16">
        <v>5.2345077544177721E-2</v>
      </c>
      <c r="AH6" s="16">
        <v>5.7897169375977338E-2</v>
      </c>
      <c r="AI6" s="16">
        <v>6.4361249909576632E-2</v>
      </c>
      <c r="AJ6" s="16">
        <v>0.14105190961442693</v>
      </c>
      <c r="AK6" s="16">
        <v>0.30903285722138191</v>
      </c>
      <c r="AL6" s="16">
        <v>0.10532267976282673</v>
      </c>
      <c r="AM6" s="16">
        <v>0.10737926908059876</v>
      </c>
      <c r="AN6" s="16">
        <v>0.11074342848616167</v>
      </c>
      <c r="AO6" s="16">
        <v>9.7022949991242294E-2</v>
      </c>
    </row>
    <row r="7" spans="1:41" x14ac:dyDescent="0.75">
      <c r="A7" s="2" t="s">
        <v>95</v>
      </c>
      <c r="B7" s="2" t="s">
        <v>45</v>
      </c>
      <c r="C7" s="2" t="str">
        <f t="shared" si="0"/>
        <v>Pump Cast_50m_1-53 μm</v>
      </c>
      <c r="D7" s="4" t="s">
        <v>43</v>
      </c>
      <c r="E7" s="5" t="s">
        <v>31</v>
      </c>
      <c r="G7" s="4" t="s">
        <v>32</v>
      </c>
      <c r="I7" s="4">
        <v>50</v>
      </c>
      <c r="J7" s="4" t="s">
        <v>38</v>
      </c>
      <c r="K7" s="4" t="s">
        <v>39</v>
      </c>
      <c r="L7" s="4" t="s">
        <v>14</v>
      </c>
      <c r="M7" s="4" t="s">
        <v>45</v>
      </c>
      <c r="N7" s="27">
        <v>2.5840000000000001</v>
      </c>
      <c r="O7" s="27">
        <v>-0.98033333333333328</v>
      </c>
      <c r="P7" s="27">
        <v>-2.1916666666666664</v>
      </c>
      <c r="Q7" s="27">
        <v>-3.5643333333333338</v>
      </c>
      <c r="R7" s="27">
        <v>0.6343333333333333</v>
      </c>
      <c r="S7" s="27">
        <v>-0.60333333333333339</v>
      </c>
      <c r="T7" s="27">
        <v>0.54300000000000004</v>
      </c>
      <c r="U7" s="27">
        <v>0.96499999999999997</v>
      </c>
      <c r="V7" s="27">
        <v>1.5289999999999999</v>
      </c>
      <c r="W7" s="27">
        <v>1.9106666666666665</v>
      </c>
      <c r="X7" s="27">
        <v>2.1663333333333337</v>
      </c>
      <c r="Y7" s="27">
        <v>-0.65266666666666673</v>
      </c>
      <c r="Z7" s="27">
        <v>-0.16200000000000001</v>
      </c>
      <c r="AA7" s="27">
        <v>-1.5170000000000001</v>
      </c>
      <c r="AB7" s="16">
        <v>0.87215078971471471</v>
      </c>
      <c r="AC7" s="16">
        <v>0.41662253099578461</v>
      </c>
      <c r="AD7" s="16">
        <v>0.33686842139526108</v>
      </c>
      <c r="AE7" s="16">
        <v>0.58022869054652282</v>
      </c>
      <c r="AF7" s="16">
        <v>0.38384154716931485</v>
      </c>
      <c r="AG7" s="16">
        <v>0.24374235030731395</v>
      </c>
      <c r="AH7" s="16">
        <v>0.43582450596541733</v>
      </c>
      <c r="AI7" s="16">
        <v>0.24374576919405236</v>
      </c>
      <c r="AJ7" s="16">
        <v>0.25079673044120954</v>
      </c>
      <c r="AK7" s="16">
        <v>0.33421001381367149</v>
      </c>
      <c r="AL7" s="16">
        <v>9.7700221767063111E-2</v>
      </c>
      <c r="AM7" s="16">
        <v>0.28162445443060002</v>
      </c>
      <c r="AN7" s="16">
        <v>0.37217872050938111</v>
      </c>
      <c r="AO7" s="16">
        <v>0.15652156400956385</v>
      </c>
    </row>
    <row r="8" spans="1:41" x14ac:dyDescent="0.75">
      <c r="A8" s="2" t="s">
        <v>95</v>
      </c>
      <c r="B8" s="2" t="s">
        <v>45</v>
      </c>
      <c r="C8" s="2" t="str">
        <f t="shared" si="0"/>
        <v>Pump Cast_75m_1-53 μm</v>
      </c>
      <c r="D8" s="4" t="s">
        <v>43</v>
      </c>
      <c r="E8" s="5" t="s">
        <v>31</v>
      </c>
      <c r="G8" s="4" t="s">
        <v>32</v>
      </c>
      <c r="I8" s="4">
        <v>75</v>
      </c>
      <c r="J8" s="4" t="s">
        <v>38</v>
      </c>
      <c r="K8" s="4" t="s">
        <v>39</v>
      </c>
      <c r="L8" s="4" t="s">
        <v>14</v>
      </c>
      <c r="M8" s="4" t="s">
        <v>45</v>
      </c>
      <c r="N8" s="27">
        <v>1.7198006708505424</v>
      </c>
      <c r="O8" s="27">
        <v>-1.9154254871728724</v>
      </c>
      <c r="P8" s="27">
        <v>-0.75353700363292109</v>
      </c>
      <c r="Q8" s="27">
        <v>-3.6222194878072429</v>
      </c>
      <c r="R8" s="27">
        <v>-2.2163488382137717</v>
      </c>
      <c r="S8" s="27">
        <v>-1.6836964875090423</v>
      </c>
      <c r="T8" s="27">
        <v>-0.19061212420072374</v>
      </c>
      <c r="U8" s="27">
        <v>-0.52000606773531299</v>
      </c>
      <c r="V8" s="27">
        <v>0.93487724741691525</v>
      </c>
      <c r="W8" s="27">
        <v>-1.3330396964158744</v>
      </c>
      <c r="X8" s="27">
        <v>2.0607270062813101</v>
      </c>
      <c r="Y8" s="27">
        <v>-3.1584011012328261</v>
      </c>
      <c r="Z8" s="27">
        <v>8.5444506814041407E-2</v>
      </c>
      <c r="AA8" s="27">
        <v>-2.5226779979560043</v>
      </c>
      <c r="AB8" s="16">
        <v>0.4649033197938281</v>
      </c>
      <c r="AC8" s="16">
        <v>0.32414003111339185</v>
      </c>
      <c r="AD8" s="16">
        <v>0.10407457068344626</v>
      </c>
      <c r="AE8" s="16">
        <v>0.27353819362065795</v>
      </c>
      <c r="AF8" s="16">
        <v>0.23526718749394818</v>
      </c>
      <c r="AG8" s="16">
        <v>8.7360277108977286E-2</v>
      </c>
      <c r="AH8" s="16">
        <v>0.7772552886361489</v>
      </c>
      <c r="AI8" s="16">
        <v>0.47254601905564214</v>
      </c>
      <c r="AJ8" s="16">
        <v>0.11363519084371178</v>
      </c>
      <c r="AK8" s="16">
        <v>4.8907882255647621E-2</v>
      </c>
      <c r="AL8" s="16">
        <v>7.2206172847843086E-2</v>
      </c>
      <c r="AM8" s="16">
        <v>0.15061557064965403</v>
      </c>
      <c r="AN8" s="16">
        <v>3.7953756466500593E-2</v>
      </c>
      <c r="AO8" s="16">
        <v>0.1187359762524567</v>
      </c>
    </row>
    <row r="9" spans="1:41" x14ac:dyDescent="0.75">
      <c r="A9" s="2" t="s">
        <v>95</v>
      </c>
      <c r="B9" s="2" t="s">
        <v>14</v>
      </c>
      <c r="C9" s="2" t="str">
        <f t="shared" si="0"/>
        <v>Pump Cast_100m_1-53 μm</v>
      </c>
      <c r="D9" s="4" t="s">
        <v>43</v>
      </c>
      <c r="E9" s="5" t="s">
        <v>31</v>
      </c>
      <c r="G9" s="4" t="s">
        <v>32</v>
      </c>
      <c r="I9" s="4">
        <v>100</v>
      </c>
      <c r="J9" s="4" t="s">
        <v>38</v>
      </c>
      <c r="K9" s="4" t="s">
        <v>39</v>
      </c>
      <c r="L9" s="4" t="s">
        <v>14</v>
      </c>
      <c r="M9" s="4" t="s">
        <v>14</v>
      </c>
      <c r="N9" s="27">
        <v>4.3654914281980854</v>
      </c>
      <c r="O9" s="27">
        <v>-1.1640639505096246</v>
      </c>
      <c r="P9" s="27">
        <v>-1.3214134133275757</v>
      </c>
      <c r="Q9" s="27">
        <v>-2.1020395812665167</v>
      </c>
      <c r="R9" s="27">
        <v>2.9493462628365292</v>
      </c>
      <c r="S9" s="27">
        <v>-0.54690839153944726</v>
      </c>
      <c r="T9" s="27">
        <v>1.0204650904892472</v>
      </c>
      <c r="U9" s="27">
        <v>7.3487774216454554E-2</v>
      </c>
      <c r="V9" s="27">
        <v>2.9529469370428898</v>
      </c>
      <c r="W9" s="27">
        <v>-0.25957458987188503</v>
      </c>
      <c r="X9" s="27">
        <v>4.0785176939511594</v>
      </c>
      <c r="Y9" s="27">
        <v>-2.9204728283722416</v>
      </c>
      <c r="Z9" s="27">
        <v>0.47316261112246211</v>
      </c>
      <c r="AA9" s="27">
        <v>-2.1776537396000855</v>
      </c>
      <c r="AB9" s="16">
        <v>0.24952672250077804</v>
      </c>
      <c r="AC9" s="16">
        <v>0.14232868959998315</v>
      </c>
      <c r="AD9" s="16">
        <v>0.37214391964749416</v>
      </c>
      <c r="AE9" s="16">
        <v>0.29779578412644375</v>
      </c>
      <c r="AF9" s="16">
        <v>0.21900151833322676</v>
      </c>
      <c r="AG9" s="16">
        <v>0.29411337552810662</v>
      </c>
      <c r="AH9" s="16">
        <v>0.60243949621939996</v>
      </c>
      <c r="AI9" s="16">
        <v>0.14106603380124763</v>
      </c>
      <c r="AJ9" s="16">
        <v>0.17002237195736752</v>
      </c>
      <c r="AK9" s="16">
        <v>0.62652227833421115</v>
      </c>
      <c r="AL9" s="16">
        <v>0.11411524458567759</v>
      </c>
      <c r="AM9" s="16">
        <v>0.27459455390784782</v>
      </c>
      <c r="AN9" s="16">
        <v>0.6467808200512225</v>
      </c>
      <c r="AO9" s="16">
        <v>0.36960337565299839</v>
      </c>
    </row>
    <row r="10" spans="1:41" x14ac:dyDescent="0.75">
      <c r="A10" s="2" t="s">
        <v>95</v>
      </c>
      <c r="B10" s="2" t="s">
        <v>14</v>
      </c>
      <c r="C10" s="2" t="str">
        <f t="shared" si="0"/>
        <v>Pump Cast_122.5m_0.7-53 μm</v>
      </c>
      <c r="D10" s="4" t="s">
        <v>43</v>
      </c>
      <c r="E10" s="5" t="s">
        <v>31</v>
      </c>
      <c r="G10" s="4" t="s">
        <v>32</v>
      </c>
      <c r="I10" s="4">
        <v>122.5</v>
      </c>
      <c r="J10" s="4" t="s">
        <v>36</v>
      </c>
      <c r="K10" s="4" t="s">
        <v>37</v>
      </c>
      <c r="L10" s="4" t="s">
        <v>14</v>
      </c>
      <c r="M10" s="4" t="s">
        <v>14</v>
      </c>
      <c r="N10" s="27">
        <v>5.5031029304057739</v>
      </c>
      <c r="O10" s="27">
        <v>-0.47284137276854282</v>
      </c>
      <c r="P10" s="27">
        <v>-0.56810087723224245</v>
      </c>
      <c r="Q10" s="27">
        <v>0.60149947838089979</v>
      </c>
      <c r="R10" s="27">
        <v>0.98785446583947767</v>
      </c>
      <c r="S10" s="27">
        <v>4.2836832245105088</v>
      </c>
      <c r="T10" s="27">
        <v>2.5858563190038768</v>
      </c>
      <c r="U10" s="27">
        <v>3.4556180258966305</v>
      </c>
      <c r="V10" s="27">
        <v>6.0571480299455969</v>
      </c>
      <c r="W10" s="27">
        <v>1.7548477027456488</v>
      </c>
      <c r="X10" s="27">
        <v>7.244222657480492</v>
      </c>
      <c r="Y10" s="27">
        <v>-0.28170391175251186</v>
      </c>
      <c r="Z10" s="27">
        <v>3.0109315594218851</v>
      </c>
      <c r="AA10" s="27">
        <v>0.41382676738511076</v>
      </c>
      <c r="AB10" s="16">
        <v>0.9527781968882566</v>
      </c>
      <c r="AC10" s="16">
        <v>0.69258396575478909</v>
      </c>
      <c r="AD10" s="16">
        <v>0.28899248966227076</v>
      </c>
      <c r="AE10" s="16">
        <v>0.31801550106268034</v>
      </c>
      <c r="AF10" s="16">
        <v>0.10053518954332971</v>
      </c>
      <c r="AG10" s="16">
        <v>4.7449923762556745E-2</v>
      </c>
      <c r="AH10" s="16">
        <v>0.48024129446245756</v>
      </c>
      <c r="AI10" s="16">
        <v>8.8479663389391255E-2</v>
      </c>
      <c r="AJ10" s="16">
        <v>4.233007936519282E-2</v>
      </c>
      <c r="AK10" s="16">
        <v>0.34297336092603664</v>
      </c>
      <c r="AL10" s="16">
        <v>6.1112263542916968E-2</v>
      </c>
      <c r="AM10" s="16">
        <v>8.6033773779969888E-2</v>
      </c>
      <c r="AN10" s="16">
        <v>0.18227421920315001</v>
      </c>
      <c r="AO10" s="16">
        <v>0.26327905921055322</v>
      </c>
    </row>
    <row r="11" spans="1:41" x14ac:dyDescent="0.75">
      <c r="A11" s="2" t="s">
        <v>95</v>
      </c>
      <c r="B11" s="2" t="s">
        <v>14</v>
      </c>
      <c r="C11" s="2" t="str">
        <f t="shared" si="0"/>
        <v>Pump Cast_150m_0.7-53 μm</v>
      </c>
      <c r="D11" s="4" t="s">
        <v>43</v>
      </c>
      <c r="E11" s="5" t="s">
        <v>31</v>
      </c>
      <c r="G11" s="4" t="s">
        <v>32</v>
      </c>
      <c r="I11" s="4">
        <v>150</v>
      </c>
      <c r="J11" s="4" t="s">
        <v>36</v>
      </c>
      <c r="K11" s="4" t="s">
        <v>37</v>
      </c>
      <c r="L11" s="4" t="s">
        <v>14</v>
      </c>
      <c r="M11" s="4" t="s">
        <v>14</v>
      </c>
      <c r="N11" s="27">
        <v>8.6100668259131989</v>
      </c>
      <c r="O11" s="27">
        <v>-0.2711257560379462</v>
      </c>
      <c r="P11" s="27">
        <v>-0.91197543727962604</v>
      </c>
      <c r="Q11" s="27">
        <v>-0.99507630051351226</v>
      </c>
      <c r="R11" s="27">
        <v>4.4765550189809682</v>
      </c>
      <c r="S11" s="27">
        <v>2.8276312053700607</v>
      </c>
      <c r="T11" s="27">
        <v>3.2540154894861706</v>
      </c>
      <c r="U11" s="27">
        <v>4.1026080595230194</v>
      </c>
      <c r="V11" s="27">
        <v>5.6419138966692728</v>
      </c>
      <c r="W11" s="27">
        <v>1.7356050822039444</v>
      </c>
      <c r="X11" s="27">
        <v>6.970554794785448</v>
      </c>
      <c r="Y11" s="27">
        <v>-1.1959638933514354</v>
      </c>
      <c r="Z11" s="27">
        <v>3.5379504986604591</v>
      </c>
      <c r="AA11" s="27">
        <v>6.7140690658575725E-2</v>
      </c>
      <c r="AB11" s="16">
        <v>6.6744896781338284E-2</v>
      </c>
      <c r="AC11" s="16">
        <v>6.5887894707103642E-2</v>
      </c>
      <c r="AD11" s="16">
        <v>0.15151993814556303</v>
      </c>
      <c r="AE11" s="16">
        <v>0.18934956650119264</v>
      </c>
      <c r="AF11" s="16">
        <v>0.26136490317609989</v>
      </c>
      <c r="AG11" s="16">
        <v>0.16310642989649468</v>
      </c>
      <c r="AH11" s="16">
        <v>0.27666793962381891</v>
      </c>
      <c r="AI11" s="16">
        <v>5.0554017543613466E-2</v>
      </c>
      <c r="AJ11" s="16">
        <v>6.240527633421894E-2</v>
      </c>
      <c r="AK11" s="16">
        <v>0.62128424221945155</v>
      </c>
      <c r="AL11" s="16">
        <v>9.5595518103703897E-2</v>
      </c>
      <c r="AM11" s="16">
        <v>0.14037765082031389</v>
      </c>
      <c r="AN11" s="16">
        <v>9.3814433039350803E-2</v>
      </c>
      <c r="AO11" s="16">
        <v>0.14232719284120857</v>
      </c>
    </row>
    <row r="12" spans="1:41" x14ac:dyDescent="0.75">
      <c r="A12" s="2" t="s">
        <v>95</v>
      </c>
      <c r="B12" s="2" t="s">
        <v>14</v>
      </c>
      <c r="C12" s="2" t="str">
        <f t="shared" si="0"/>
        <v>Pump Cast_200m_1-53 μm</v>
      </c>
      <c r="D12" s="4" t="s">
        <v>43</v>
      </c>
      <c r="E12" s="5" t="s">
        <v>31</v>
      </c>
      <c r="G12" s="4" t="s">
        <v>32</v>
      </c>
      <c r="I12" s="4">
        <v>200</v>
      </c>
      <c r="J12" s="4" t="s">
        <v>38</v>
      </c>
      <c r="K12" s="4" t="s">
        <v>39</v>
      </c>
      <c r="L12" s="4" t="s">
        <v>14</v>
      </c>
      <c r="M12" s="4" t="s">
        <v>14</v>
      </c>
      <c r="N12" s="27">
        <v>14.521786100873848</v>
      </c>
      <c r="O12" s="27">
        <v>4.3260328338101139</v>
      </c>
      <c r="P12" s="27">
        <v>-0.6041100465771222</v>
      </c>
      <c r="Q12" s="27">
        <v>5.2432115342512313</v>
      </c>
      <c r="R12" s="27">
        <v>8.2062151107433099</v>
      </c>
      <c r="S12" s="27">
        <v>8.4201415100419084</v>
      </c>
      <c r="T12" s="27">
        <v>9.3731502478039737</v>
      </c>
      <c r="U12" s="27">
        <v>7.9392462052146824</v>
      </c>
      <c r="V12" s="27">
        <v>9.6566290724902952</v>
      </c>
      <c r="W12" s="27">
        <v>4.6955740030418474</v>
      </c>
      <c r="X12" s="27">
        <v>13.442669682737078</v>
      </c>
      <c r="Y12" s="27">
        <v>4.1409109743185519</v>
      </c>
      <c r="Z12" s="27">
        <v>8.1753029216821016</v>
      </c>
      <c r="AA12" s="27">
        <v>3.6740666645191475</v>
      </c>
      <c r="AB12" s="16">
        <v>0.12241765623014354</v>
      </c>
      <c r="AC12" s="16">
        <v>0.21322008792145275</v>
      </c>
      <c r="AD12" s="16">
        <v>0.2783380735458339</v>
      </c>
      <c r="AE12" s="16">
        <v>6.0976300001746336E-2</v>
      </c>
      <c r="AF12" s="16">
        <v>0.15292565222305732</v>
      </c>
      <c r="AG12" s="16">
        <v>0.10850470949132146</v>
      </c>
      <c r="AH12" s="16">
        <v>4.9022671182138211E-2</v>
      </c>
      <c r="AI12" s="16">
        <v>0.30922585847491618</v>
      </c>
      <c r="AJ12" s="16">
        <v>9.8022686016809371E-2</v>
      </c>
      <c r="AK12" s="16">
        <v>0.39130018771398029</v>
      </c>
      <c r="AL12" s="16">
        <v>0.18615845096867292</v>
      </c>
      <c r="AM12" s="16">
        <v>0.24882984216833204</v>
      </c>
      <c r="AN12" s="16">
        <v>0.27927413050118621</v>
      </c>
      <c r="AO12" s="16">
        <v>0.20282770715900167</v>
      </c>
    </row>
    <row r="13" spans="1:41" x14ac:dyDescent="0.75">
      <c r="A13" s="2" t="s">
        <v>95</v>
      </c>
      <c r="B13" s="2" t="s">
        <v>14</v>
      </c>
      <c r="C13" s="2" t="str">
        <f t="shared" si="0"/>
        <v>Pump Cast_250m_0.7-53 μm</v>
      </c>
      <c r="D13" s="4" t="s">
        <v>43</v>
      </c>
      <c r="E13" s="5" t="s">
        <v>31</v>
      </c>
      <c r="G13" s="4" t="s">
        <v>32</v>
      </c>
      <c r="I13" s="4">
        <v>250</v>
      </c>
      <c r="J13" s="4" t="s">
        <v>36</v>
      </c>
      <c r="K13" s="4" t="s">
        <v>37</v>
      </c>
      <c r="L13" s="4" t="s">
        <v>14</v>
      </c>
      <c r="M13" s="4" t="s">
        <v>14</v>
      </c>
      <c r="N13" s="27">
        <v>18.327999999999999</v>
      </c>
      <c r="O13" s="27">
        <v>7.0386666666666668</v>
      </c>
      <c r="P13" s="27">
        <v>3.6270000000000002</v>
      </c>
      <c r="Q13" s="27">
        <v>6.5903333333333336</v>
      </c>
      <c r="R13" s="27">
        <v>5.283666666666667</v>
      </c>
      <c r="S13" s="27">
        <v>10.128</v>
      </c>
      <c r="T13" s="27">
        <v>9.6893333333333338</v>
      </c>
      <c r="U13" s="27">
        <v>11.288666666666666</v>
      </c>
      <c r="V13" s="27">
        <v>10.631</v>
      </c>
      <c r="W13" s="27">
        <v>8.282</v>
      </c>
      <c r="X13" s="27">
        <v>13.091999999999999</v>
      </c>
      <c r="Y13" s="27">
        <v>6.613666666666667</v>
      </c>
      <c r="Z13" s="27">
        <v>7.6006666666666662</v>
      </c>
      <c r="AA13" s="27">
        <v>5.8466666666666667</v>
      </c>
      <c r="AB13" s="16">
        <v>1.0798462853573179</v>
      </c>
      <c r="AC13" s="16">
        <v>1.6101622071497494</v>
      </c>
      <c r="AD13" s="16">
        <v>0.25272119024727618</v>
      </c>
      <c r="AE13" s="16">
        <v>0.44050122966154492</v>
      </c>
      <c r="AF13" s="16">
        <v>1.3736434520403511</v>
      </c>
      <c r="AG13" s="16">
        <v>0.32000468746566801</v>
      </c>
      <c r="AH13" s="16">
        <v>0.13124912698122287</v>
      </c>
      <c r="AI13" s="16">
        <v>0.15404652976725289</v>
      </c>
      <c r="AJ13" s="16">
        <v>0.36379802088521607</v>
      </c>
      <c r="AK13" s="16">
        <v>1.3347599035032462</v>
      </c>
      <c r="AL13" s="16">
        <v>0.3498099484005564</v>
      </c>
      <c r="AM13" s="16">
        <v>0.29784112095768994</v>
      </c>
      <c r="AN13" s="16">
        <v>1.6321303052554799</v>
      </c>
      <c r="AO13" s="16">
        <v>0.53595646589376367</v>
      </c>
    </row>
    <row r="14" spans="1:41" x14ac:dyDescent="0.75">
      <c r="A14" s="2" t="s">
        <v>95</v>
      </c>
      <c r="B14" s="2" t="s">
        <v>14</v>
      </c>
      <c r="C14" s="2" t="str">
        <f t="shared" si="0"/>
        <v>Pump Cast_400m_0.7-53 μm</v>
      </c>
      <c r="D14" s="4" t="s">
        <v>43</v>
      </c>
      <c r="E14" s="5" t="s">
        <v>31</v>
      </c>
      <c r="G14" s="4" t="s">
        <v>32</v>
      </c>
      <c r="I14" s="4">
        <v>400</v>
      </c>
      <c r="J14" s="4" t="s">
        <v>36</v>
      </c>
      <c r="K14" s="4" t="s">
        <v>37</v>
      </c>
      <c r="L14" s="4" t="s">
        <v>14</v>
      </c>
      <c r="M14" s="4" t="s">
        <v>14</v>
      </c>
      <c r="N14" s="27">
        <v>15.506500000000001</v>
      </c>
      <c r="O14" s="27">
        <v>6.1265000000000001</v>
      </c>
      <c r="P14" s="27">
        <v>3.5220000000000002</v>
      </c>
      <c r="Q14" s="27">
        <v>6.80525</v>
      </c>
      <c r="R14" s="27">
        <v>12.2105</v>
      </c>
      <c r="S14" s="27">
        <v>9.4642993749498583</v>
      </c>
      <c r="T14" s="27">
        <v>10.303000000000001</v>
      </c>
      <c r="U14" s="27">
        <v>10.896354360556341</v>
      </c>
      <c r="V14" s="27">
        <v>11.21797582461768</v>
      </c>
      <c r="W14" s="27">
        <v>6.6892499999999995</v>
      </c>
      <c r="X14" s="27">
        <v>14.424953866049423</v>
      </c>
      <c r="Y14" s="27">
        <v>6.425138347416226</v>
      </c>
      <c r="Z14" s="27">
        <v>10.560521981544937</v>
      </c>
      <c r="AA14" s="27">
        <v>5.4328426073269283</v>
      </c>
      <c r="AB14" s="16">
        <v>0.35581127956638248</v>
      </c>
      <c r="AC14" s="16">
        <v>0.68312883118779277</v>
      </c>
      <c r="AD14" s="16">
        <v>0.25543035580499551</v>
      </c>
      <c r="AE14" s="16">
        <v>0.24778804786887254</v>
      </c>
      <c r="AF14" s="16">
        <v>0.88821074826492263</v>
      </c>
      <c r="AG14" s="16">
        <v>0.21585341413522494</v>
      </c>
      <c r="AH14" s="16">
        <v>0.88845296255157247</v>
      </c>
      <c r="AI14" s="16">
        <v>0.21419625577381451</v>
      </c>
      <c r="AJ14" s="16">
        <v>0.19584943337507665</v>
      </c>
      <c r="AK14" s="16">
        <v>0.55870587074058919</v>
      </c>
      <c r="AL14" s="16">
        <v>7.5983409113535141E-2</v>
      </c>
      <c r="AM14" s="16">
        <v>0.47023011219698163</v>
      </c>
      <c r="AN14" s="16">
        <v>0.6981085736247068</v>
      </c>
      <c r="AO14" s="16">
        <v>0.16403749662670833</v>
      </c>
    </row>
    <row r="15" spans="1:41" x14ac:dyDescent="0.75">
      <c r="A15" s="2" t="s">
        <v>95</v>
      </c>
      <c r="B15" s="2" t="s">
        <v>14</v>
      </c>
      <c r="C15" s="2" t="str">
        <f t="shared" si="0"/>
        <v>Pump Cast_600m_0.7-53 μm</v>
      </c>
      <c r="D15" s="4" t="s">
        <v>43</v>
      </c>
      <c r="E15" s="5" t="s">
        <v>31</v>
      </c>
      <c r="G15" s="4" t="s">
        <v>32</v>
      </c>
      <c r="I15" s="4">
        <v>600</v>
      </c>
      <c r="J15" s="4" t="s">
        <v>36</v>
      </c>
      <c r="K15" s="4" t="s">
        <v>37</v>
      </c>
      <c r="L15" s="4" t="s">
        <v>14</v>
      </c>
      <c r="M15" s="4" t="s">
        <v>14</v>
      </c>
      <c r="N15" s="27">
        <v>16.3385</v>
      </c>
      <c r="O15" s="27">
        <v>5.9294999999999991</v>
      </c>
      <c r="P15" s="27">
        <v>3.6399999999999997</v>
      </c>
      <c r="Q15" s="27">
        <v>6.843</v>
      </c>
      <c r="R15" s="27">
        <v>13.0555</v>
      </c>
      <c r="S15" s="27">
        <v>10.8735</v>
      </c>
      <c r="T15" s="27">
        <v>12.886750000000001</v>
      </c>
      <c r="U15" s="27">
        <v>11.080500000000001</v>
      </c>
      <c r="V15" s="27">
        <v>12.509250000000002</v>
      </c>
      <c r="W15" s="27">
        <v>8.6187500000000004</v>
      </c>
      <c r="X15" s="27">
        <v>15.240749999999998</v>
      </c>
      <c r="Y15" s="27">
        <v>6.5962500000000004</v>
      </c>
      <c r="Z15" s="27">
        <v>7.2962500000000006</v>
      </c>
      <c r="AA15" s="27">
        <v>4.8970000000000002</v>
      </c>
      <c r="AB15" s="16">
        <v>0.34063225527441265</v>
      </c>
      <c r="AC15" s="16">
        <v>0.69705786464731856</v>
      </c>
      <c r="AD15" s="16">
        <v>0.69756672321243784</v>
      </c>
      <c r="AE15" s="16">
        <v>0.35794319847335176</v>
      </c>
      <c r="AF15" s="16">
        <v>0.57609518889387279</v>
      </c>
      <c r="AG15" s="16">
        <v>0.4377049995906685</v>
      </c>
      <c r="AH15" s="16">
        <v>0.60668628631278576</v>
      </c>
      <c r="AI15" s="16">
        <v>0.17870366532335019</v>
      </c>
      <c r="AJ15" s="16">
        <v>0.16181548133599577</v>
      </c>
      <c r="AK15" s="16">
        <v>1.435470973815445</v>
      </c>
      <c r="AL15" s="16">
        <v>0.28821100487894852</v>
      </c>
      <c r="AM15" s="16">
        <v>0.75315752004477754</v>
      </c>
      <c r="AN15" s="16">
        <v>0.74897012624002579</v>
      </c>
      <c r="AO15" s="16">
        <v>0.2101332910321447</v>
      </c>
    </row>
    <row r="16" spans="1:41" x14ac:dyDescent="0.75">
      <c r="A16" s="2" t="s">
        <v>95</v>
      </c>
      <c r="B16" s="2" t="s">
        <v>14</v>
      </c>
      <c r="C16" s="2" t="str">
        <f t="shared" si="0"/>
        <v>Pump Cast_850m_0.7-53 μm</v>
      </c>
      <c r="D16" s="4" t="s">
        <v>43</v>
      </c>
      <c r="E16" s="5" t="s">
        <v>31</v>
      </c>
      <c r="G16" s="4" t="s">
        <v>32</v>
      </c>
      <c r="I16" s="4">
        <v>850</v>
      </c>
      <c r="J16" s="4" t="s">
        <v>36</v>
      </c>
      <c r="K16" s="4" t="s">
        <v>37</v>
      </c>
      <c r="L16" s="4" t="s">
        <v>14</v>
      </c>
      <c r="M16" s="4" t="s">
        <v>14</v>
      </c>
      <c r="N16" s="27">
        <v>15.116666666666667</v>
      </c>
      <c r="O16" s="27">
        <v>5.4343333333333321</v>
      </c>
      <c r="P16" s="27">
        <v>3.0073333333333334</v>
      </c>
      <c r="Q16" s="27">
        <v>6.9376666666666678</v>
      </c>
      <c r="R16" s="27">
        <v>14.117333333333335</v>
      </c>
      <c r="S16" s="27">
        <v>9.5676666666666659</v>
      </c>
      <c r="T16" s="27">
        <v>10.941333333333333</v>
      </c>
      <c r="U16" s="27">
        <v>10.404000000000002</v>
      </c>
      <c r="V16" s="27">
        <v>11.598666666666666</v>
      </c>
      <c r="W16" s="27">
        <v>7.6536666666666671</v>
      </c>
      <c r="X16" s="27">
        <v>15.025666666666666</v>
      </c>
      <c r="Y16" s="27">
        <v>7.468</v>
      </c>
      <c r="Z16" s="27">
        <v>10.484999999999999</v>
      </c>
      <c r="AA16" s="27">
        <v>6.4146666666666663</v>
      </c>
      <c r="AB16" s="16">
        <v>0.18032563138204577</v>
      </c>
      <c r="AC16" s="16">
        <v>0.42169933997260811</v>
      </c>
      <c r="AD16" s="16">
        <v>0.44716029937074264</v>
      </c>
      <c r="AE16" s="16">
        <v>0.15531044180393433</v>
      </c>
      <c r="AF16" s="16">
        <v>0.10640645343837636</v>
      </c>
      <c r="AG16" s="16">
        <v>0.25272580662317318</v>
      </c>
      <c r="AH16" s="16">
        <v>0.34843985612058392</v>
      </c>
      <c r="AI16" s="16">
        <v>0.27646157056632631</v>
      </c>
      <c r="AJ16" s="16">
        <v>0.25096082031531008</v>
      </c>
      <c r="AK16" s="16">
        <v>0.99868430113490914</v>
      </c>
      <c r="AL16" s="16">
        <v>0.52285880822009001</v>
      </c>
      <c r="AM16" s="16">
        <v>0.31609966782646265</v>
      </c>
      <c r="AN16" s="16">
        <v>1.0006083149764446</v>
      </c>
      <c r="AO16" s="16">
        <v>0.32832504219650005</v>
      </c>
    </row>
    <row r="17" spans="1:41" x14ac:dyDescent="0.75">
      <c r="A17" s="2" t="s">
        <v>95</v>
      </c>
      <c r="B17" s="2" t="s">
        <v>14</v>
      </c>
      <c r="C17" s="2" t="str">
        <f t="shared" si="0"/>
        <v>Pump Cast_1195m_0.7-53 μm</v>
      </c>
      <c r="D17" s="4" t="s">
        <v>43</v>
      </c>
      <c r="E17" s="5" t="s">
        <v>31</v>
      </c>
      <c r="G17" s="4" t="s">
        <v>32</v>
      </c>
      <c r="I17" s="4">
        <v>1195</v>
      </c>
      <c r="J17" s="4" t="s">
        <v>36</v>
      </c>
      <c r="K17" s="4" t="s">
        <v>37</v>
      </c>
      <c r="L17" s="4" t="s">
        <v>14</v>
      </c>
      <c r="M17" s="4" t="s">
        <v>14</v>
      </c>
      <c r="N17" s="27">
        <v>16.622499999999999</v>
      </c>
      <c r="O17" s="27">
        <v>5.0992500000000005</v>
      </c>
      <c r="P17" s="27">
        <v>3.8367499999999999</v>
      </c>
      <c r="Q17" s="27">
        <v>5.5637499999999998</v>
      </c>
      <c r="R17" s="27">
        <v>11.91375</v>
      </c>
      <c r="S17" s="27">
        <v>9.9117499999999996</v>
      </c>
      <c r="T17" s="27">
        <v>11.303000000000001</v>
      </c>
      <c r="U17" s="27">
        <v>10.821999999999999</v>
      </c>
      <c r="V17" s="27">
        <v>12.3325</v>
      </c>
      <c r="W17" s="27">
        <v>10.618333333333332</v>
      </c>
      <c r="X17" s="27">
        <v>14.499499999999999</v>
      </c>
      <c r="Y17" s="27">
        <v>7.3565000000000005</v>
      </c>
      <c r="Z17" s="27">
        <v>5.4296666666666669</v>
      </c>
      <c r="AA17" s="27">
        <v>3.8030000000000004</v>
      </c>
      <c r="AB17" s="16">
        <v>0.71266518553011016</v>
      </c>
      <c r="AC17" s="16">
        <v>0.71782327212203911</v>
      </c>
      <c r="AD17" s="16">
        <v>0.53591938137497297</v>
      </c>
      <c r="AE17" s="16">
        <v>0.5790983652771492</v>
      </c>
      <c r="AF17" s="16">
        <v>1.0766563595997873</v>
      </c>
      <c r="AG17" s="16">
        <v>0.66349196176994785</v>
      </c>
      <c r="AH17" s="16">
        <v>1.2411293244460866</v>
      </c>
      <c r="AI17" s="16">
        <v>0.41411029126711335</v>
      </c>
      <c r="AJ17" s="16">
        <v>0.2715320729981387</v>
      </c>
      <c r="AK17" s="16">
        <v>1.2495604560537816</v>
      </c>
      <c r="AL17" s="16">
        <v>0.49296416367385831</v>
      </c>
      <c r="AM17" s="16">
        <v>0.9962347447598171</v>
      </c>
      <c r="AN17" s="16">
        <v>8.7145472248036412E-2</v>
      </c>
      <c r="AO17" s="16">
        <v>0.86278193459683816</v>
      </c>
    </row>
    <row r="18" spans="1:41" x14ac:dyDescent="0.75">
      <c r="A18" s="2" t="s">
        <v>95</v>
      </c>
      <c r="B18" s="2" t="s">
        <v>45</v>
      </c>
      <c r="C18" s="2" t="str">
        <f t="shared" si="0"/>
        <v>Pump Cast_25m_&gt;53 μm</v>
      </c>
      <c r="D18" s="4" t="s">
        <v>43</v>
      </c>
      <c r="E18" s="5" t="s">
        <v>31</v>
      </c>
      <c r="G18" s="4" t="s">
        <v>32</v>
      </c>
      <c r="I18" s="4">
        <v>25</v>
      </c>
      <c r="J18" s="4" t="s">
        <v>40</v>
      </c>
      <c r="K18" s="4" t="s">
        <v>41</v>
      </c>
      <c r="L18" s="4" t="s">
        <v>12</v>
      </c>
      <c r="M18" s="4" t="s">
        <v>45</v>
      </c>
      <c r="N18" s="27">
        <v>6.1105278786523494</v>
      </c>
      <c r="O18" s="27">
        <v>-0.56639385256944497</v>
      </c>
      <c r="P18" s="27">
        <v>-2.9347559763593671</v>
      </c>
      <c r="Q18" s="27">
        <v>-1.3021379893135101</v>
      </c>
      <c r="R18" s="27">
        <v>4.1130087615538544</v>
      </c>
      <c r="S18" s="27">
        <v>4.8179949486383098</v>
      </c>
      <c r="T18" s="27">
        <v>4.504473575403428</v>
      </c>
      <c r="U18" s="27">
        <v>3.3510504631680766</v>
      </c>
      <c r="V18" s="27">
        <v>3.346157152994957</v>
      </c>
      <c r="W18" s="27">
        <v>1.7988225718234714</v>
      </c>
      <c r="X18" s="27">
        <v>5.1863913002431774</v>
      </c>
      <c r="Y18" s="27">
        <v>1.076360276977874</v>
      </c>
      <c r="Z18" s="27">
        <v>1.2249071929475785</v>
      </c>
      <c r="AA18" s="27">
        <v>-0.42658499048031134</v>
      </c>
      <c r="AB18" s="16">
        <v>0.44619224046830003</v>
      </c>
      <c r="AC18" s="16">
        <v>0.43914659616502788</v>
      </c>
      <c r="AD18" s="16">
        <v>0.25476568955024537</v>
      </c>
      <c r="AE18" s="16">
        <v>0.18788173240699407</v>
      </c>
      <c r="AF18" s="16">
        <v>0.5560431733466269</v>
      </c>
      <c r="AG18" s="16">
        <v>0.33647712021102544</v>
      </c>
      <c r="AH18" s="16">
        <v>0.83870373850328661</v>
      </c>
      <c r="AI18" s="16">
        <v>0.28035773193280955</v>
      </c>
      <c r="AJ18" s="16">
        <v>0.19754929135847121</v>
      </c>
      <c r="AK18" s="16">
        <v>1.2535814192627164</v>
      </c>
      <c r="AL18" s="16">
        <v>0.10904251013094404</v>
      </c>
      <c r="AM18" s="16">
        <v>1.0556592721361664</v>
      </c>
      <c r="AN18" s="16">
        <v>0.71839762112787453</v>
      </c>
      <c r="AO18" s="16">
        <v>0.2098766311322765</v>
      </c>
    </row>
    <row r="19" spans="1:41" x14ac:dyDescent="0.75">
      <c r="A19" s="2" t="s">
        <v>95</v>
      </c>
      <c r="B19" s="2" t="s">
        <v>12</v>
      </c>
      <c r="C19" s="2" t="str">
        <f t="shared" si="0"/>
        <v>Pump Cast_120m_&gt;53 μm</v>
      </c>
      <c r="D19" s="4" t="s">
        <v>43</v>
      </c>
      <c r="E19" s="5" t="s">
        <v>31</v>
      </c>
      <c r="G19" s="4" t="s">
        <v>32</v>
      </c>
      <c r="I19" s="4">
        <v>120</v>
      </c>
      <c r="J19" s="4" t="s">
        <v>40</v>
      </c>
      <c r="K19" s="4" t="s">
        <v>41</v>
      </c>
      <c r="L19" s="4" t="s">
        <v>12</v>
      </c>
      <c r="M19" s="4" t="s">
        <v>12</v>
      </c>
      <c r="N19" s="27">
        <v>7.1920547518900078</v>
      </c>
      <c r="O19" s="27">
        <v>-0.55320295228737315</v>
      </c>
      <c r="P19" s="27">
        <v>-4.3968808638579464</v>
      </c>
      <c r="Q19" s="27">
        <v>-8.696693629125675E-2</v>
      </c>
      <c r="R19" s="27">
        <v>3.2305590997761398</v>
      </c>
      <c r="S19" s="27">
        <v>6.0828561090828321</v>
      </c>
      <c r="T19" s="27">
        <v>5.5083687502798426</v>
      </c>
      <c r="U19" s="27">
        <v>5.5254875672818597</v>
      </c>
      <c r="V19" s="27">
        <v>5.7369553067185439</v>
      </c>
      <c r="W19" s="27"/>
      <c r="X19" s="27">
        <v>9.505109025633157</v>
      </c>
      <c r="Y19" s="27">
        <v>3.0850491552589929</v>
      </c>
      <c r="Z19" s="27">
        <v>3.0749792629048658</v>
      </c>
      <c r="AA19" s="27">
        <v>8.6970410729571169E-3</v>
      </c>
      <c r="AB19" s="16">
        <v>0.29834849619879555</v>
      </c>
      <c r="AC19" s="16">
        <v>0.64938861225131561</v>
      </c>
      <c r="AD19" s="16">
        <v>0.33039069746119493</v>
      </c>
      <c r="AE19" s="16">
        <v>3.4178348013227167E-2</v>
      </c>
      <c r="AF19" s="16">
        <v>0.12888085396654386</v>
      </c>
      <c r="AG19" s="16">
        <v>0.13528929421902366</v>
      </c>
      <c r="AH19" s="16">
        <v>0.3125894745376393</v>
      </c>
      <c r="AI19" s="16">
        <v>0.2072062348301891</v>
      </c>
      <c r="AJ19" s="16">
        <v>0.15736281064423352</v>
      </c>
      <c r="AK19" s="16"/>
      <c r="AL19" s="16">
        <v>0.26986653952110556</v>
      </c>
      <c r="AM19" s="16">
        <v>0.60524157940089918</v>
      </c>
      <c r="AN19" s="16"/>
      <c r="AO19" s="16">
        <v>3.7026543680996095E-2</v>
      </c>
    </row>
    <row r="20" spans="1:41" x14ac:dyDescent="0.75">
      <c r="A20" s="2" t="s">
        <v>95</v>
      </c>
      <c r="B20" s="2" t="s">
        <v>12</v>
      </c>
      <c r="C20" s="2" t="str">
        <f t="shared" si="0"/>
        <v>Pump Cast_150m_&gt;53 μm</v>
      </c>
      <c r="D20" s="4" t="s">
        <v>43</v>
      </c>
      <c r="E20" s="5" t="s">
        <v>31</v>
      </c>
      <c r="G20" s="4" t="s">
        <v>32</v>
      </c>
      <c r="I20" s="4">
        <v>150</v>
      </c>
      <c r="J20" s="4" t="s">
        <v>40</v>
      </c>
      <c r="K20" s="4" t="s">
        <v>41</v>
      </c>
      <c r="L20" s="4" t="s">
        <v>12</v>
      </c>
      <c r="M20" s="4" t="s">
        <v>12</v>
      </c>
      <c r="N20" s="27">
        <v>7.2452437778368299</v>
      </c>
      <c r="O20" s="27">
        <v>0.25241530102452592</v>
      </c>
      <c r="P20" s="27">
        <v>-4.2123591312821187</v>
      </c>
      <c r="Q20" s="27">
        <v>0.27654089292133105</v>
      </c>
      <c r="R20" s="27">
        <v>4.3922642084231338</v>
      </c>
      <c r="S20" s="27">
        <v>5.6704072684879243</v>
      </c>
      <c r="T20" s="27"/>
      <c r="U20" s="27">
        <v>6.4378064149926875</v>
      </c>
      <c r="V20" s="27">
        <v>5.7525369430302398</v>
      </c>
      <c r="W20" s="27"/>
      <c r="X20" s="27">
        <v>9.1501389167526668</v>
      </c>
      <c r="Y20" s="27">
        <v>3.2398822125012647</v>
      </c>
      <c r="Z20" s="27"/>
      <c r="AA20" s="27">
        <v>-0.21059073920777982</v>
      </c>
      <c r="AB20" s="16">
        <v>9.8000634046809157E-2</v>
      </c>
      <c r="AC20" s="16">
        <v>0.33683180887199099</v>
      </c>
      <c r="AD20" s="16">
        <v>0.20471243556444235</v>
      </c>
      <c r="AE20" s="16">
        <v>0.41015080175145452</v>
      </c>
      <c r="AF20" s="16">
        <v>1.0097694959934012</v>
      </c>
      <c r="AG20" s="16">
        <v>0.86893895521501952</v>
      </c>
      <c r="AH20" s="16"/>
      <c r="AI20" s="16">
        <v>0.28166108155675118</v>
      </c>
      <c r="AJ20" s="16">
        <v>0.30416493085638802</v>
      </c>
      <c r="AK20" s="16"/>
      <c r="AL20" s="16">
        <v>0.64027080910581047</v>
      </c>
      <c r="AM20" s="16">
        <v>2</v>
      </c>
      <c r="AN20" s="16"/>
      <c r="AO20" s="16">
        <v>0.5139588807788138</v>
      </c>
    </row>
    <row r="21" spans="1:41" x14ac:dyDescent="0.75">
      <c r="A21" s="2" t="s">
        <v>95</v>
      </c>
      <c r="B21" s="2" t="s">
        <v>12</v>
      </c>
      <c r="C21" s="2" t="str">
        <f t="shared" si="0"/>
        <v>Pump Cast_250m_&gt;53 μm</v>
      </c>
      <c r="D21" s="4" t="s">
        <v>43</v>
      </c>
      <c r="E21" s="5" t="s">
        <v>31</v>
      </c>
      <c r="G21" s="4" t="s">
        <v>32</v>
      </c>
      <c r="I21" s="4">
        <v>250</v>
      </c>
      <c r="J21" s="4" t="s">
        <v>40</v>
      </c>
      <c r="K21" s="4" t="s">
        <v>41</v>
      </c>
      <c r="L21" s="4" t="s">
        <v>12</v>
      </c>
      <c r="M21" s="4" t="s">
        <v>12</v>
      </c>
      <c r="N21" s="27">
        <v>9.6885269298483347</v>
      </c>
      <c r="O21" s="27">
        <v>2.1776661313997279</v>
      </c>
      <c r="P21" s="27">
        <v>-3.5351355792705035</v>
      </c>
      <c r="Q21" s="27">
        <v>0.83784783720657829</v>
      </c>
      <c r="R21" s="27">
        <v>5.5892912779831008</v>
      </c>
      <c r="S21" s="27">
        <v>6.4648852208945913</v>
      </c>
      <c r="T21" s="27">
        <v>7.1564847646407381</v>
      </c>
      <c r="U21" s="27">
        <v>6.6199590911938344</v>
      </c>
      <c r="V21" s="27">
        <v>6.7369708861463193</v>
      </c>
      <c r="W21" s="27"/>
      <c r="X21" s="27">
        <v>11.467638084921338</v>
      </c>
      <c r="Y21" s="27">
        <v>2.6104768047751099</v>
      </c>
      <c r="Z21" s="27">
        <v>4.9156424073262563</v>
      </c>
      <c r="AA21" s="27">
        <v>3.0323176223736974</v>
      </c>
      <c r="AB21" s="16">
        <v>4.6541156450461585E-2</v>
      </c>
      <c r="AC21" s="16">
        <v>0.99640384946218008</v>
      </c>
      <c r="AD21" s="16">
        <v>0.13257177898010583</v>
      </c>
      <c r="AE21" s="16">
        <v>0.68401396601437714</v>
      </c>
      <c r="AF21" s="16">
        <v>0.47457876198729443</v>
      </c>
      <c r="AG21" s="16">
        <v>0.10789086268061823</v>
      </c>
      <c r="AH21" s="16">
        <v>2</v>
      </c>
      <c r="AI21" s="16">
        <v>0.13257177898010519</v>
      </c>
      <c r="AJ21" s="16">
        <v>0.65683710527310601</v>
      </c>
      <c r="AK21" s="16"/>
      <c r="AL21" s="16">
        <v>0.31407028805154302</v>
      </c>
      <c r="AM21" s="16">
        <v>0.43226861975960329</v>
      </c>
      <c r="AN21" s="16">
        <v>0.88710264870730271</v>
      </c>
      <c r="AO21" s="16">
        <v>0.39559982982893416</v>
      </c>
    </row>
    <row r="22" spans="1:41" x14ac:dyDescent="0.75">
      <c r="A22" s="2" t="s">
        <v>95</v>
      </c>
      <c r="B22" s="2" t="s">
        <v>12</v>
      </c>
      <c r="C22" s="2" t="str">
        <f t="shared" si="0"/>
        <v>Pump Cast_250m_&gt;53 μm</v>
      </c>
      <c r="D22" s="4" t="s">
        <v>43</v>
      </c>
      <c r="E22" s="5" t="s">
        <v>31</v>
      </c>
      <c r="G22" s="4" t="s">
        <v>32</v>
      </c>
      <c r="I22" s="4">
        <v>250</v>
      </c>
      <c r="J22" s="4" t="s">
        <v>40</v>
      </c>
      <c r="K22" s="4" t="s">
        <v>41</v>
      </c>
      <c r="L22" s="4" t="s">
        <v>12</v>
      </c>
      <c r="M22" s="4" t="s">
        <v>12</v>
      </c>
      <c r="N22" s="27">
        <v>14.097079272631996</v>
      </c>
      <c r="O22" s="27">
        <v>4.4954636890877895</v>
      </c>
      <c r="P22" s="27">
        <v>-7.7372551815271962</v>
      </c>
      <c r="Q22" s="27">
        <v>4.2032666215786021</v>
      </c>
      <c r="R22" s="27">
        <v>7.8475856785788487</v>
      </c>
      <c r="S22" s="27">
        <v>12.123170072552872</v>
      </c>
      <c r="T22" s="27">
        <v>13.919899480843149</v>
      </c>
      <c r="U22" s="27">
        <v>8.4286556148769822</v>
      </c>
      <c r="V22" s="27">
        <v>9.4382147662141858</v>
      </c>
      <c r="W22" s="27"/>
      <c r="X22" s="27">
        <v>14.344732077289951</v>
      </c>
      <c r="Y22" s="27">
        <v>3.7648048103788097</v>
      </c>
      <c r="Z22" s="27">
        <v>5.5522264622524142</v>
      </c>
      <c r="AA22" s="27">
        <v>2.06447716497552</v>
      </c>
      <c r="AB22" s="16">
        <v>0.98352367066284152</v>
      </c>
      <c r="AC22" s="16">
        <v>0.8347970439477298</v>
      </c>
      <c r="AD22" s="16">
        <v>0.41576557525018676</v>
      </c>
      <c r="AE22" s="16">
        <v>0.49170697535501967</v>
      </c>
      <c r="AF22" s="16">
        <v>2</v>
      </c>
      <c r="AG22" s="16">
        <v>0.4314854756419465</v>
      </c>
      <c r="AH22" s="16">
        <v>2</v>
      </c>
      <c r="AI22" s="16">
        <v>0.41872119588444917</v>
      </c>
      <c r="AJ22" s="16">
        <v>0.12551612692249989</v>
      </c>
      <c r="AK22" s="16"/>
      <c r="AL22" s="16">
        <v>0.22142307765826238</v>
      </c>
      <c r="AM22" s="16">
        <v>0.31649915800713552</v>
      </c>
      <c r="AN22" s="16">
        <v>0.35443051974301787</v>
      </c>
      <c r="AO22" s="16">
        <v>0.22745609606627559</v>
      </c>
    </row>
    <row r="23" spans="1:41" x14ac:dyDescent="0.75">
      <c r="A23" s="2" t="s">
        <v>95</v>
      </c>
      <c r="B23" s="2" t="s">
        <v>12</v>
      </c>
      <c r="C23" s="2" t="str">
        <f t="shared" si="0"/>
        <v>Pump Cast_400m_&gt;53 μm</v>
      </c>
      <c r="D23" s="4" t="s">
        <v>43</v>
      </c>
      <c r="E23" s="5" t="s">
        <v>31</v>
      </c>
      <c r="G23" s="4" t="s">
        <v>32</v>
      </c>
      <c r="I23" s="4">
        <v>400</v>
      </c>
      <c r="J23" s="4" t="s">
        <v>40</v>
      </c>
      <c r="K23" s="4" t="s">
        <v>41</v>
      </c>
      <c r="L23" s="4" t="s">
        <v>12</v>
      </c>
      <c r="M23" s="4" t="s">
        <v>12</v>
      </c>
      <c r="N23" s="28">
        <v>13.587074805977078</v>
      </c>
      <c r="O23" s="28">
        <v>4.0663681215974563</v>
      </c>
      <c r="P23" s="28">
        <v>-6.8314875357977307</v>
      </c>
      <c r="Q23" s="28">
        <v>3.0477310567307336</v>
      </c>
      <c r="R23" s="28">
        <v>10.684236111485406</v>
      </c>
      <c r="S23" s="28">
        <v>12.121304911846071</v>
      </c>
      <c r="T23" s="28"/>
      <c r="U23" s="28">
        <v>10.54778003408606</v>
      </c>
      <c r="V23" s="28">
        <v>11.734091909926889</v>
      </c>
      <c r="W23" s="28"/>
      <c r="X23" s="28">
        <v>15.002995431980647</v>
      </c>
      <c r="Y23" s="28">
        <v>5.2174330401764593</v>
      </c>
      <c r="Z23" s="28"/>
      <c r="AA23" s="28">
        <v>2.9958676767597638</v>
      </c>
      <c r="AB23" s="16">
        <v>0.12532890855145593</v>
      </c>
      <c r="AC23" s="16">
        <v>9.2572489270962829E-2</v>
      </c>
      <c r="AD23" s="16">
        <v>0.57181314526602267</v>
      </c>
      <c r="AE23" s="16">
        <v>0.72420170452745392</v>
      </c>
      <c r="AF23" s="16">
        <v>0.3240037124483709</v>
      </c>
      <c r="AG23" s="16">
        <v>0.66011305810909471</v>
      </c>
      <c r="AH23" s="16"/>
      <c r="AI23" s="16">
        <v>0.6878848048903845</v>
      </c>
      <c r="AJ23" s="16">
        <v>0.14099502212039028</v>
      </c>
      <c r="AK23" s="16"/>
      <c r="AL23" s="16">
        <v>0.35462384351491827</v>
      </c>
      <c r="AM23" s="16">
        <v>2</v>
      </c>
      <c r="AN23" s="16"/>
      <c r="AO23" s="16">
        <v>0.3531996513722882</v>
      </c>
    </row>
    <row r="24" spans="1:41" x14ac:dyDescent="0.75">
      <c r="A24" s="2" t="s">
        <v>95</v>
      </c>
      <c r="B24" s="2" t="s">
        <v>12</v>
      </c>
      <c r="C24" s="2" t="str">
        <f t="shared" si="0"/>
        <v>Pump Cast_600m_&gt;53 μm</v>
      </c>
      <c r="D24" s="4" t="s">
        <v>43</v>
      </c>
      <c r="E24" s="5" t="s">
        <v>31</v>
      </c>
      <c r="G24" s="4" t="s">
        <v>32</v>
      </c>
      <c r="I24" s="4">
        <v>600</v>
      </c>
      <c r="J24" s="4" t="s">
        <v>40</v>
      </c>
      <c r="K24" s="4" t="s">
        <v>41</v>
      </c>
      <c r="L24" s="4" t="s">
        <v>12</v>
      </c>
      <c r="M24" s="4" t="s">
        <v>12</v>
      </c>
      <c r="N24" s="28">
        <v>10.535488279130746</v>
      </c>
      <c r="O24" s="28">
        <v>2.9058422001942517</v>
      </c>
      <c r="P24" s="28">
        <v>-5.1505398901876092</v>
      </c>
      <c r="Q24" s="28">
        <v>4.0906541969677841</v>
      </c>
      <c r="R24" s="28">
        <v>8.0259953621823357</v>
      </c>
      <c r="S24" s="28">
        <v>8.963999816934562</v>
      </c>
      <c r="T24" s="28"/>
      <c r="U24" s="28">
        <v>8.3128624502263566</v>
      </c>
      <c r="V24" s="28">
        <v>8.5219868599720581</v>
      </c>
      <c r="W24" s="28"/>
      <c r="X24" s="28">
        <v>12.271288777555695</v>
      </c>
      <c r="Y24" s="28"/>
      <c r="Z24" s="28"/>
      <c r="AA24" s="28">
        <v>0.42282932214221258</v>
      </c>
      <c r="AB24" s="16">
        <v>0.47691591036983144</v>
      </c>
      <c r="AC24" s="16">
        <v>0.31572573092299083</v>
      </c>
      <c r="AD24" s="16">
        <v>0.48253262391081986</v>
      </c>
      <c r="AE24" s="16">
        <v>0.49231601336104108</v>
      </c>
      <c r="AF24" s="16">
        <v>0.64094428507845413</v>
      </c>
      <c r="AG24" s="16">
        <v>0.32014750056760927</v>
      </c>
      <c r="AH24" s="16"/>
      <c r="AI24" s="16">
        <v>0.79390570856785714</v>
      </c>
      <c r="AJ24" s="16">
        <v>0.42924078820087863</v>
      </c>
      <c r="AK24" s="16"/>
      <c r="AL24" s="16">
        <v>0.88768290038306807</v>
      </c>
      <c r="AM24" s="16"/>
      <c r="AN24" s="16"/>
      <c r="AO24" s="16">
        <v>0.75656129661508509</v>
      </c>
    </row>
    <row r="25" spans="1:41" x14ac:dyDescent="0.75">
      <c r="A25" s="2" t="s">
        <v>95</v>
      </c>
      <c r="B25" s="2" t="s">
        <v>12</v>
      </c>
      <c r="C25" s="2" t="str">
        <f t="shared" si="0"/>
        <v>Pump Cast_850m_&gt;53 μm</v>
      </c>
      <c r="D25" s="4" t="s">
        <v>43</v>
      </c>
      <c r="E25" s="5" t="s">
        <v>31</v>
      </c>
      <c r="G25" s="4" t="s">
        <v>32</v>
      </c>
      <c r="I25" s="4">
        <v>850</v>
      </c>
      <c r="J25" s="4" t="s">
        <v>40</v>
      </c>
      <c r="K25" s="4" t="s">
        <v>41</v>
      </c>
      <c r="L25" s="4" t="s">
        <v>12</v>
      </c>
      <c r="M25" s="4" t="s">
        <v>12</v>
      </c>
      <c r="N25" s="28">
        <v>10.146133427302543</v>
      </c>
      <c r="O25" s="28">
        <v>4.5665258632150252</v>
      </c>
      <c r="P25" s="28">
        <v>-5.3567263336353577</v>
      </c>
      <c r="Q25" s="28">
        <v>0.62731261898481827</v>
      </c>
      <c r="R25" s="28">
        <v>9.2769923413731217</v>
      </c>
      <c r="S25" s="28">
        <v>8.9776615939368476</v>
      </c>
      <c r="T25" s="28">
        <v>9.3815777832484457</v>
      </c>
      <c r="U25" s="28">
        <v>9.2483129180674073</v>
      </c>
      <c r="V25" s="28">
        <v>10.326109688526419</v>
      </c>
      <c r="W25" s="28"/>
      <c r="X25" s="28">
        <v>13.018884283937076</v>
      </c>
      <c r="Y25" s="28">
        <v>3.649471249726957</v>
      </c>
      <c r="Z25" s="28"/>
      <c r="AA25" s="28">
        <v>2.0559600589861735</v>
      </c>
      <c r="AB25" s="16">
        <v>0.29435509720223796</v>
      </c>
      <c r="AC25" s="16">
        <v>0.31621314897468139</v>
      </c>
      <c r="AD25" s="16">
        <v>0.36502946459980512</v>
      </c>
      <c r="AE25" s="16">
        <v>0.46047629067280815</v>
      </c>
      <c r="AF25" s="16">
        <v>0.87796507952647651</v>
      </c>
      <c r="AG25" s="16">
        <v>4.6630510447878644E-2</v>
      </c>
      <c r="AH25" s="16">
        <v>2</v>
      </c>
      <c r="AI25" s="16">
        <v>0.65902203981512886</v>
      </c>
      <c r="AJ25" s="16">
        <v>0.40009766921210183</v>
      </c>
      <c r="AK25" s="16"/>
      <c r="AL25" s="16">
        <v>0.59745341511345351</v>
      </c>
      <c r="AM25" s="16">
        <v>2</v>
      </c>
      <c r="AN25" s="16"/>
      <c r="AO25" s="16">
        <v>0.93333881068333391</v>
      </c>
    </row>
    <row r="26" spans="1:41" x14ac:dyDescent="0.75">
      <c r="A26" s="2" t="s">
        <v>95</v>
      </c>
      <c r="B26" s="2" t="s">
        <v>12</v>
      </c>
      <c r="C26" s="2" t="str">
        <f t="shared" si="0"/>
        <v>Pump Cast_1195m_&gt;53 μm</v>
      </c>
      <c r="D26" s="4" t="s">
        <v>43</v>
      </c>
      <c r="E26" s="5" t="s">
        <v>31</v>
      </c>
      <c r="G26" s="4" t="s">
        <v>32</v>
      </c>
      <c r="I26" s="4">
        <v>1195</v>
      </c>
      <c r="J26" s="4" t="s">
        <v>40</v>
      </c>
      <c r="K26" s="4" t="s">
        <v>41</v>
      </c>
      <c r="L26" s="4" t="s">
        <v>12</v>
      </c>
      <c r="M26" s="4" t="s">
        <v>12</v>
      </c>
      <c r="N26" s="28">
        <v>9.5330233758292469</v>
      </c>
      <c r="O26" s="28">
        <v>3.6407009289181209</v>
      </c>
      <c r="P26" s="28">
        <v>-4.3821529874306879</v>
      </c>
      <c r="Q26" s="28">
        <v>1.3234498641593935</v>
      </c>
      <c r="R26" s="28">
        <v>10.453936597317554</v>
      </c>
      <c r="S26" s="28">
        <v>10.20582278723062</v>
      </c>
      <c r="T26" s="28"/>
      <c r="U26" s="28">
        <v>7.251797015602568</v>
      </c>
      <c r="V26" s="28">
        <v>6.8722691425043561</v>
      </c>
      <c r="W26" s="28"/>
      <c r="X26" s="28">
        <v>10.349414215154143</v>
      </c>
      <c r="Y26" s="28">
        <v>3.3682323890067054</v>
      </c>
      <c r="Z26" s="28"/>
      <c r="AA26" s="28">
        <v>-4.8533249286545121E-2</v>
      </c>
      <c r="AB26" s="16">
        <v>1.3210244784280558</v>
      </c>
      <c r="AC26" s="16">
        <v>0.26980184893479031</v>
      </c>
      <c r="AD26" s="16">
        <v>0.3573439382168232</v>
      </c>
      <c r="AE26" s="16">
        <v>8.3954298737687824E-2</v>
      </c>
      <c r="AF26" s="16">
        <v>0.91847437935247755</v>
      </c>
      <c r="AG26" s="16">
        <v>0.57619916142190575</v>
      </c>
      <c r="AH26" s="16"/>
      <c r="AI26" s="16">
        <v>0.37815312337402768</v>
      </c>
      <c r="AJ26" s="16">
        <v>0.4972677694463023</v>
      </c>
      <c r="AK26" s="16"/>
      <c r="AL26" s="16">
        <v>0.32433626520884423</v>
      </c>
      <c r="AM26" s="16">
        <v>0.37958823959176619</v>
      </c>
      <c r="AN26" s="16"/>
      <c r="AO26" s="16">
        <v>0.53745102354297369</v>
      </c>
    </row>
    <row r="27" spans="1:41" x14ac:dyDescent="0.75">
      <c r="A27" s="2" t="s">
        <v>96</v>
      </c>
      <c r="B27" s="2" t="s">
        <v>96</v>
      </c>
      <c r="C27" s="2" t="str">
        <f t="shared" si="0"/>
        <v>Day_400m_0.06-0.2 mm</v>
      </c>
      <c r="D27" s="4" t="s">
        <v>43</v>
      </c>
      <c r="E27" s="5" t="s">
        <v>31</v>
      </c>
      <c r="G27" s="6" t="s">
        <v>5</v>
      </c>
      <c r="H27" s="6">
        <v>2</v>
      </c>
      <c r="I27" s="4">
        <v>400</v>
      </c>
      <c r="J27" s="4">
        <v>60</v>
      </c>
      <c r="K27" s="4" t="s">
        <v>22</v>
      </c>
      <c r="L27" s="4" t="s">
        <v>23</v>
      </c>
      <c r="M27" s="4" t="s">
        <v>23</v>
      </c>
      <c r="N27" s="28">
        <v>21.329000000000001</v>
      </c>
      <c r="O27" s="28">
        <v>7.367</v>
      </c>
      <c r="P27" s="28">
        <v>-14.734333333333334</v>
      </c>
      <c r="Q27" s="28">
        <v>8.1386666666666674</v>
      </c>
      <c r="R27" s="28">
        <v>19.393666666666665</v>
      </c>
      <c r="S27" s="28">
        <v>17.266666666666666</v>
      </c>
      <c r="T27" s="28">
        <v>16.187666666666669</v>
      </c>
      <c r="U27" s="28">
        <v>13.356666666666664</v>
      </c>
      <c r="V27" s="28">
        <v>13.836333333333334</v>
      </c>
      <c r="W27" s="28">
        <v>6.6753333333333336</v>
      </c>
      <c r="X27" s="28">
        <v>18.705333333333332</v>
      </c>
      <c r="Y27" s="28">
        <v>1.7186666666666668</v>
      </c>
      <c r="Z27" s="28">
        <v>8.3366666666666678</v>
      </c>
      <c r="AA27" s="28">
        <v>4.2666666666666666</v>
      </c>
      <c r="AB27" s="16">
        <v>0.3023722870899393</v>
      </c>
      <c r="AC27" s="16">
        <v>0.1353994091567613</v>
      </c>
      <c r="AD27" s="16">
        <v>0.44092440773145392</v>
      </c>
      <c r="AE27" s="16">
        <v>0.40609645816398504</v>
      </c>
      <c r="AF27" s="16">
        <v>0.23050451911694345</v>
      </c>
      <c r="AG27" s="16">
        <v>0.32062491065625875</v>
      </c>
      <c r="AH27" s="16">
        <v>0.19458245895592263</v>
      </c>
      <c r="AI27" s="16">
        <v>0.10896941466913219</v>
      </c>
      <c r="AJ27" s="16">
        <v>5.6871199506721141E-2</v>
      </c>
      <c r="AK27" s="16">
        <v>0.17936647773018613</v>
      </c>
      <c r="AL27" s="16">
        <v>0.32980347683633199</v>
      </c>
      <c r="AM27" s="16">
        <v>0.19062353824576153</v>
      </c>
      <c r="AN27" s="16">
        <v>0.23121490724720484</v>
      </c>
      <c r="AO27" s="16">
        <v>0.26806031659560003</v>
      </c>
    </row>
    <row r="28" spans="1:41" x14ac:dyDescent="0.75">
      <c r="A28" s="2" t="s">
        <v>96</v>
      </c>
      <c r="B28" s="2" t="s">
        <v>96</v>
      </c>
      <c r="C28" s="2" t="str">
        <f t="shared" si="0"/>
        <v>Night_400m_0.06-0.2 mm</v>
      </c>
      <c r="D28" s="4" t="s">
        <v>43</v>
      </c>
      <c r="E28" s="5" t="s">
        <v>31</v>
      </c>
      <c r="G28" s="6" t="s">
        <v>6</v>
      </c>
      <c r="H28" s="7">
        <v>4</v>
      </c>
      <c r="I28" s="4">
        <v>400</v>
      </c>
      <c r="J28" s="4">
        <v>60</v>
      </c>
      <c r="K28" s="4" t="s">
        <v>22</v>
      </c>
      <c r="L28" s="4" t="s">
        <v>23</v>
      </c>
      <c r="M28" s="4" t="s">
        <v>23</v>
      </c>
      <c r="N28" s="28">
        <v>21.012</v>
      </c>
      <c r="O28" s="28">
        <v>7.4379999999999997</v>
      </c>
      <c r="P28" s="28">
        <v>-14.758000000000001</v>
      </c>
      <c r="Q28" s="28">
        <v>8.168000000000001</v>
      </c>
      <c r="R28" s="28">
        <v>18.798333333333332</v>
      </c>
      <c r="S28" s="28">
        <v>17.007000000000001</v>
      </c>
      <c r="T28" s="28">
        <v>16.684666666666669</v>
      </c>
      <c r="U28" s="28">
        <v>13.312666666666667</v>
      </c>
      <c r="V28" s="28">
        <v>13.349333333333334</v>
      </c>
      <c r="W28" s="28">
        <v>5.5103333333333326</v>
      </c>
      <c r="X28" s="28">
        <v>17.328333333333337</v>
      </c>
      <c r="Y28" s="28">
        <v>0.64766666666666672</v>
      </c>
      <c r="Z28" s="28">
        <v>7.5026666666666673</v>
      </c>
      <c r="AA28" s="28">
        <v>3.1916666666666669</v>
      </c>
      <c r="AB28" s="16">
        <v>0.18533213428868803</v>
      </c>
      <c r="AC28" s="16">
        <v>0.13015759678174763</v>
      </c>
      <c r="AD28" s="16">
        <v>0.55030264400600504</v>
      </c>
      <c r="AE28" s="16">
        <v>0.16023420358962082</v>
      </c>
      <c r="AF28" s="16">
        <v>0.45051563050945742</v>
      </c>
      <c r="AG28" s="16">
        <v>0.25311854930051975</v>
      </c>
      <c r="AH28" s="16">
        <v>0.3798741019513347</v>
      </c>
      <c r="AI28" s="16">
        <v>0.39078937208339409</v>
      </c>
      <c r="AJ28" s="16">
        <v>0.20674702738693315</v>
      </c>
      <c r="AK28" s="16">
        <v>0.4433309523745585</v>
      </c>
      <c r="AL28" s="16">
        <v>0.22258781038801997</v>
      </c>
      <c r="AM28" s="16">
        <v>0.90800018355357914</v>
      </c>
      <c r="AN28" s="16">
        <v>0.4015175380146343</v>
      </c>
      <c r="AO28" s="16">
        <v>0.24964040805393134</v>
      </c>
    </row>
    <row r="29" spans="1:41" x14ac:dyDescent="0.75">
      <c r="A29" s="2" t="s">
        <v>96</v>
      </c>
      <c r="B29" s="2" t="s">
        <v>96</v>
      </c>
      <c r="C29" s="2" t="str">
        <f t="shared" si="0"/>
        <v>Day_25m_0.2-0.5 mm</v>
      </c>
      <c r="D29" s="4" t="s">
        <v>43</v>
      </c>
      <c r="E29" s="5" t="s">
        <v>31</v>
      </c>
      <c r="G29" s="6" t="s">
        <v>5</v>
      </c>
      <c r="H29" s="7">
        <v>9</v>
      </c>
      <c r="I29" s="4">
        <v>25</v>
      </c>
      <c r="J29" s="4">
        <v>200</v>
      </c>
      <c r="K29" s="4" t="s">
        <v>8</v>
      </c>
      <c r="L29" s="4" t="s">
        <v>23</v>
      </c>
      <c r="M29" s="4" t="s">
        <v>23</v>
      </c>
      <c r="N29" s="28">
        <v>8.8882916666666674</v>
      </c>
      <c r="O29" s="28">
        <v>1.3893333333333333</v>
      </c>
      <c r="P29" s="28">
        <v>-10.932833333333335</v>
      </c>
      <c r="Q29" s="28">
        <v>2.1575416666666665</v>
      </c>
      <c r="R29" s="28">
        <v>8.6317916666666683</v>
      </c>
      <c r="S29" s="28">
        <v>4.7296666666666667</v>
      </c>
      <c r="T29" s="28">
        <v>5.2844583333333333</v>
      </c>
      <c r="U29" s="28">
        <v>4.2922500000000001</v>
      </c>
      <c r="V29" s="28">
        <v>6.0951666666666666</v>
      </c>
      <c r="W29" s="28">
        <v>1.6316666666666666</v>
      </c>
      <c r="X29" s="28">
        <v>8.6284166666666664</v>
      </c>
      <c r="Y29" s="28">
        <v>-3.7547083333333333</v>
      </c>
      <c r="Z29" s="28">
        <v>0.6226666666666667</v>
      </c>
      <c r="AA29" s="28">
        <v>-1.7470416666666666</v>
      </c>
      <c r="AB29" s="16">
        <v>0.45347464096683443</v>
      </c>
      <c r="AC29" s="16">
        <v>0.29657657808172699</v>
      </c>
      <c r="AD29" s="16">
        <v>0.67609121672547534</v>
      </c>
      <c r="AE29" s="16">
        <v>0.54849848070285001</v>
      </c>
      <c r="AF29" s="16">
        <v>0.57611449961502148</v>
      </c>
      <c r="AG29" s="16">
        <v>0.46067595263192712</v>
      </c>
      <c r="AH29" s="16">
        <v>0.81115879045556361</v>
      </c>
      <c r="AI29" s="16">
        <v>0.34590027464574208</v>
      </c>
      <c r="AJ29" s="16">
        <v>0.47298520061414201</v>
      </c>
      <c r="AK29" s="16">
        <v>0.65671099681163758</v>
      </c>
      <c r="AL29" s="16">
        <v>0.5201871458106847</v>
      </c>
      <c r="AM29" s="16">
        <v>0.64755739771338661</v>
      </c>
      <c r="AN29" s="16">
        <v>0.82963425676619673</v>
      </c>
      <c r="AO29" s="16">
        <v>0.63510569986420407</v>
      </c>
    </row>
    <row r="30" spans="1:41" x14ac:dyDescent="0.75">
      <c r="A30" s="2" t="s">
        <v>96</v>
      </c>
      <c r="B30" s="2" t="s">
        <v>96</v>
      </c>
      <c r="C30" s="2" t="str">
        <f t="shared" si="0"/>
        <v>Day_125m_0.2-0.5 mm</v>
      </c>
      <c r="D30" s="4" t="s">
        <v>43</v>
      </c>
      <c r="E30" s="5" t="s">
        <v>31</v>
      </c>
      <c r="G30" s="6" t="s">
        <v>5</v>
      </c>
      <c r="H30" s="7">
        <v>7</v>
      </c>
      <c r="I30" s="4">
        <v>125</v>
      </c>
      <c r="J30" s="4">
        <v>200</v>
      </c>
      <c r="K30" s="4" t="s">
        <v>8</v>
      </c>
      <c r="L30" s="4" t="s">
        <v>23</v>
      </c>
      <c r="M30" s="4" t="s">
        <v>23</v>
      </c>
      <c r="N30" s="28">
        <v>10.765833333333333</v>
      </c>
      <c r="O30" s="28">
        <v>1.7280833333333334</v>
      </c>
      <c r="P30" s="28">
        <v>-12.633875</v>
      </c>
      <c r="Q30" s="28">
        <v>2.2875000000000001</v>
      </c>
      <c r="R30" s="28">
        <v>10.354749999999999</v>
      </c>
      <c r="S30" s="28">
        <v>7.9538333333333329</v>
      </c>
      <c r="T30" s="28">
        <v>8.7825416666666669</v>
      </c>
      <c r="U30" s="28">
        <v>7.3223333333333329</v>
      </c>
      <c r="V30" s="28">
        <v>8.3532916666666672</v>
      </c>
      <c r="W30" s="28">
        <v>2.3417083333333331</v>
      </c>
      <c r="X30" s="28">
        <v>12.486083333333333</v>
      </c>
      <c r="Y30" s="28">
        <v>-3.6126249999999995</v>
      </c>
      <c r="Z30" s="28">
        <v>1.8732500000000001</v>
      </c>
      <c r="AA30" s="28">
        <v>-1.3126250000000002</v>
      </c>
      <c r="AB30" s="16">
        <v>0.66438643373667172</v>
      </c>
      <c r="AC30" s="16">
        <v>0.57543288053429886</v>
      </c>
      <c r="AD30" s="16">
        <v>0.93611373062607417</v>
      </c>
      <c r="AE30" s="16">
        <v>0.87772831787518313</v>
      </c>
      <c r="AF30" s="16">
        <v>0.82805837153347339</v>
      </c>
      <c r="AG30" s="16">
        <v>0.2909421477430405</v>
      </c>
      <c r="AH30" s="16">
        <v>0.74925134856957931</v>
      </c>
      <c r="AI30" s="16">
        <v>0.59002203348688553</v>
      </c>
      <c r="AJ30" s="16">
        <v>0.19591303342724975</v>
      </c>
      <c r="AK30" s="16">
        <v>0.80598051051705677</v>
      </c>
      <c r="AL30" s="16">
        <v>0.5626641982568289</v>
      </c>
      <c r="AM30" s="16">
        <v>0.77497413935348047</v>
      </c>
      <c r="AN30" s="16">
        <v>0.78660239850469094</v>
      </c>
      <c r="AO30" s="16">
        <v>0.61974880664131426</v>
      </c>
    </row>
    <row r="31" spans="1:41" x14ac:dyDescent="0.75">
      <c r="A31" s="2" t="s">
        <v>96</v>
      </c>
      <c r="B31" s="2" t="s">
        <v>96</v>
      </c>
      <c r="C31" s="2" t="str">
        <f t="shared" si="0"/>
        <v>Day_400m_0.2-0.5 mm</v>
      </c>
      <c r="D31" s="4" t="s">
        <v>43</v>
      </c>
      <c r="E31" s="5" t="s">
        <v>31</v>
      </c>
      <c r="G31" s="6" t="s">
        <v>5</v>
      </c>
      <c r="H31" s="7">
        <v>4</v>
      </c>
      <c r="I31" s="4">
        <v>400</v>
      </c>
      <c r="J31" s="4">
        <v>200</v>
      </c>
      <c r="K31" s="4" t="s">
        <v>8</v>
      </c>
      <c r="L31" s="4" t="s">
        <v>23</v>
      </c>
      <c r="M31" s="4" t="s">
        <v>23</v>
      </c>
      <c r="N31" s="28">
        <v>16.089111111111112</v>
      </c>
      <c r="O31" s="28">
        <v>4.6035555555555563</v>
      </c>
      <c r="P31" s="28">
        <v>-15.362916666666665</v>
      </c>
      <c r="Q31" s="28">
        <v>5.2989166666666669</v>
      </c>
      <c r="R31" s="28">
        <v>13.671388888888886</v>
      </c>
      <c r="S31" s="28">
        <v>11.511416666666667</v>
      </c>
      <c r="T31" s="28">
        <v>12.710638888888889</v>
      </c>
      <c r="U31" s="28">
        <v>11.19488888888889</v>
      </c>
      <c r="V31" s="28">
        <v>11.995166666666668</v>
      </c>
      <c r="W31" s="28">
        <v>4.7995000000000001</v>
      </c>
      <c r="X31" s="28">
        <v>16.199666666666669</v>
      </c>
      <c r="Y31" s="28">
        <v>-2.4812500000000002</v>
      </c>
      <c r="Z31" s="28">
        <v>4.0771388888888884</v>
      </c>
      <c r="AA31" s="28">
        <v>-7.5027777777777763E-2</v>
      </c>
      <c r="AB31" s="16">
        <v>0.72593916182188911</v>
      </c>
      <c r="AC31" s="16">
        <v>0.67882521068878021</v>
      </c>
      <c r="AD31" s="16">
        <v>0.9424918655705552</v>
      </c>
      <c r="AE31" s="16">
        <v>0.66604022651288364</v>
      </c>
      <c r="AF31" s="16">
        <v>1.0683348413925917</v>
      </c>
      <c r="AG31" s="16">
        <v>0.60004409560186978</v>
      </c>
      <c r="AH31" s="16">
        <v>1.13136742484482</v>
      </c>
      <c r="AI31" s="16">
        <v>0.20355261400106542</v>
      </c>
      <c r="AJ31" s="16">
        <v>0.27826516131201234</v>
      </c>
      <c r="AK31" s="16">
        <v>0.59833017640764219</v>
      </c>
      <c r="AL31" s="16">
        <v>0.41542488290102886</v>
      </c>
      <c r="AM31" s="16">
        <v>0.3764848381187923</v>
      </c>
      <c r="AN31" s="16">
        <v>1.317648631717373</v>
      </c>
      <c r="AO31" s="16">
        <v>0.61943623562074568</v>
      </c>
    </row>
    <row r="32" spans="1:41" x14ac:dyDescent="0.75">
      <c r="A32" s="2" t="s">
        <v>96</v>
      </c>
      <c r="B32" s="2" t="s">
        <v>96</v>
      </c>
      <c r="C32" s="2" t="str">
        <f t="shared" si="0"/>
        <v>Day_850m_0.2-0.5 mm</v>
      </c>
      <c r="D32" s="4" t="s">
        <v>43</v>
      </c>
      <c r="E32" s="5" t="s">
        <v>31</v>
      </c>
      <c r="G32" s="6" t="s">
        <v>5</v>
      </c>
      <c r="H32" s="7">
        <v>2</v>
      </c>
      <c r="I32" s="4">
        <v>850</v>
      </c>
      <c r="J32" s="4">
        <v>200</v>
      </c>
      <c r="K32" s="4" t="s">
        <v>8</v>
      </c>
      <c r="L32" s="4" t="s">
        <v>23</v>
      </c>
      <c r="M32" s="4" t="s">
        <v>23</v>
      </c>
      <c r="N32" s="28">
        <v>19.168633333333332</v>
      </c>
      <c r="O32" s="28">
        <v>4.7930999999999999</v>
      </c>
      <c r="P32" s="28">
        <v>-18.631166666666665</v>
      </c>
      <c r="Q32" s="28">
        <v>7.5831499999999998</v>
      </c>
      <c r="R32" s="28">
        <v>17.093583333333335</v>
      </c>
      <c r="S32" s="28">
        <v>15.582016666666666</v>
      </c>
      <c r="T32" s="28">
        <v>15.3231</v>
      </c>
      <c r="U32" s="28">
        <v>14.513016666666667</v>
      </c>
      <c r="V32" s="28">
        <v>14.226783333333334</v>
      </c>
      <c r="W32" s="28">
        <v>5.8304999999999998</v>
      </c>
      <c r="X32" s="28">
        <v>19.068750000000001</v>
      </c>
      <c r="Y32" s="28">
        <v>-0.41894999999999993</v>
      </c>
      <c r="Z32" s="28">
        <v>7.9208499999999997</v>
      </c>
      <c r="AA32" s="28">
        <v>2.4821166666666672</v>
      </c>
      <c r="AB32" s="16">
        <v>0.34983934408048845</v>
      </c>
      <c r="AC32" s="16">
        <v>0.33838543112846919</v>
      </c>
      <c r="AD32" s="16">
        <v>1.0133241172826524</v>
      </c>
      <c r="AE32" s="16">
        <v>0.90591903611746694</v>
      </c>
      <c r="AF32" s="16">
        <v>1.134169328921685</v>
      </c>
      <c r="AG32" s="16">
        <v>0.41576455677061563</v>
      </c>
      <c r="AH32" s="16">
        <v>1.0150327088325777</v>
      </c>
      <c r="AI32" s="16">
        <v>0.66608322803285347</v>
      </c>
      <c r="AJ32" s="16">
        <v>0.69050384985651336</v>
      </c>
      <c r="AK32" s="16">
        <v>0.8168748986227965</v>
      </c>
      <c r="AL32" s="16">
        <v>1.0100449494948234</v>
      </c>
      <c r="AM32" s="16">
        <v>1.2896249842492971</v>
      </c>
      <c r="AN32" s="16">
        <v>0.98247264592964989</v>
      </c>
      <c r="AO32" s="16">
        <v>0.98551010480190615</v>
      </c>
    </row>
    <row r="33" spans="1:41" x14ac:dyDescent="0.75">
      <c r="A33" s="2" t="s">
        <v>96</v>
      </c>
      <c r="B33" s="2" t="s">
        <v>96</v>
      </c>
      <c r="C33" s="2" t="str">
        <f t="shared" si="0"/>
        <v>Day_1250m_0.2-0.5 mm</v>
      </c>
      <c r="D33" s="4" t="s">
        <v>43</v>
      </c>
      <c r="E33" s="5" t="s">
        <v>31</v>
      </c>
      <c r="G33" s="6" t="s">
        <v>5</v>
      </c>
      <c r="H33" s="7">
        <v>1</v>
      </c>
      <c r="I33" s="4">
        <v>1250</v>
      </c>
      <c r="J33" s="4">
        <v>200</v>
      </c>
      <c r="K33" s="4" t="s">
        <v>8</v>
      </c>
      <c r="L33" s="4" t="s">
        <v>23</v>
      </c>
      <c r="M33" s="4" t="s">
        <v>23</v>
      </c>
      <c r="N33" s="28">
        <v>21.177624999999999</v>
      </c>
      <c r="O33" s="28">
        <v>8.9423750000000002</v>
      </c>
      <c r="P33" s="28">
        <v>-16.783249999999999</v>
      </c>
      <c r="Q33" s="28">
        <v>10.185375000000001</v>
      </c>
      <c r="R33" s="28">
        <v>15.975416666666668</v>
      </c>
      <c r="S33" s="28">
        <v>18.798124999999999</v>
      </c>
      <c r="T33" s="28">
        <v>18.170333333333332</v>
      </c>
      <c r="U33" s="28">
        <v>16.231499999999997</v>
      </c>
      <c r="V33" s="28">
        <v>15.505875</v>
      </c>
      <c r="W33" s="28">
        <v>6.0493333333333341</v>
      </c>
      <c r="X33" s="28">
        <v>19.311124999999997</v>
      </c>
      <c r="Y33" s="28">
        <v>0.96837499999999999</v>
      </c>
      <c r="Z33" s="28">
        <v>8.5641250000000007</v>
      </c>
      <c r="AA33" s="28">
        <v>4.9537499999999994</v>
      </c>
      <c r="AB33" s="16">
        <v>0.41637833357016341</v>
      </c>
      <c r="AC33" s="16">
        <v>1.1180414050174232</v>
      </c>
      <c r="AD33" s="16">
        <v>0.66765697280364977</v>
      </c>
      <c r="AE33" s="16">
        <v>1.0532441549802209</v>
      </c>
      <c r="AF33" s="16">
        <v>0.97924001143744077</v>
      </c>
      <c r="AG33" s="16">
        <v>0.74121044020350069</v>
      </c>
      <c r="AH33" s="16">
        <v>1.0829572167603549</v>
      </c>
      <c r="AI33" s="16">
        <v>0.45519885764355755</v>
      </c>
      <c r="AJ33" s="16">
        <v>0.42102286161205138</v>
      </c>
      <c r="AK33" s="16">
        <v>0.40150259442914343</v>
      </c>
      <c r="AL33" s="16">
        <v>0.69181133025317432</v>
      </c>
      <c r="AM33" s="16">
        <v>1.024255298578761</v>
      </c>
      <c r="AN33" s="16">
        <v>0.98547057287369044</v>
      </c>
      <c r="AO33" s="16">
        <v>0.9867474347572418</v>
      </c>
    </row>
    <row r="34" spans="1:41" x14ac:dyDescent="0.75">
      <c r="A34" s="2" t="s">
        <v>96</v>
      </c>
      <c r="B34" s="2" t="s">
        <v>96</v>
      </c>
      <c r="C34" s="2" t="str">
        <f t="shared" si="0"/>
        <v>Night_25m_0.2-0.5 mm</v>
      </c>
      <c r="D34" s="4" t="s">
        <v>43</v>
      </c>
      <c r="E34" s="5" t="s">
        <v>31</v>
      </c>
      <c r="G34" s="6" t="s">
        <v>6</v>
      </c>
      <c r="H34" s="7">
        <v>9</v>
      </c>
      <c r="I34" s="4">
        <v>25</v>
      </c>
      <c r="J34" s="4">
        <v>200</v>
      </c>
      <c r="K34" s="4" t="s">
        <v>8</v>
      </c>
      <c r="L34" s="4" t="s">
        <v>23</v>
      </c>
      <c r="M34" s="4" t="s">
        <v>23</v>
      </c>
      <c r="N34" s="28">
        <v>8.4718333333333327</v>
      </c>
      <c r="O34" s="28">
        <v>0.77250000000000008</v>
      </c>
      <c r="P34" s="28">
        <v>-11.250833333333333</v>
      </c>
      <c r="Q34" s="28">
        <v>1.8235416666666668</v>
      </c>
      <c r="R34" s="28">
        <v>8.1399583333333325</v>
      </c>
      <c r="S34" s="28">
        <v>5.5912916666666668</v>
      </c>
      <c r="T34" s="28">
        <v>5.6269166666666663</v>
      </c>
      <c r="U34" s="28">
        <v>5.8108750000000011</v>
      </c>
      <c r="V34" s="28">
        <v>5.9015000000000004</v>
      </c>
      <c r="W34" s="28">
        <v>1.4369583333333336</v>
      </c>
      <c r="X34" s="28">
        <v>9.4737083333333345</v>
      </c>
      <c r="Y34" s="28">
        <v>-4.4834999999999994</v>
      </c>
      <c r="Z34" s="28">
        <v>0.83829166666666666</v>
      </c>
      <c r="AA34" s="28">
        <v>-1.8002500000000001</v>
      </c>
      <c r="AB34" s="16">
        <v>0.41802910584471575</v>
      </c>
      <c r="AC34" s="16">
        <v>0.33599652775983585</v>
      </c>
      <c r="AD34" s="16">
        <v>0.61484578012159585</v>
      </c>
      <c r="AE34" s="16">
        <v>0.56733844983983339</v>
      </c>
      <c r="AF34" s="16">
        <v>0.79066127387143481</v>
      </c>
      <c r="AG34" s="16">
        <v>0.28610531277835466</v>
      </c>
      <c r="AH34" s="16">
        <v>0.50729478609581635</v>
      </c>
      <c r="AI34" s="16">
        <v>0.34203350225769807</v>
      </c>
      <c r="AJ34" s="16">
        <v>0.23999236098953933</v>
      </c>
      <c r="AK34" s="16">
        <v>0.92633538742725285</v>
      </c>
      <c r="AL34" s="16">
        <v>0.31182032753922073</v>
      </c>
      <c r="AM34" s="16">
        <v>0.62691227456479093</v>
      </c>
      <c r="AN34" s="16">
        <v>0.81032498624523075</v>
      </c>
      <c r="AO34" s="16">
        <v>0.58037516602050621</v>
      </c>
    </row>
    <row r="35" spans="1:41" x14ac:dyDescent="0.75">
      <c r="A35" s="2" t="s">
        <v>96</v>
      </c>
      <c r="B35" s="2" t="s">
        <v>96</v>
      </c>
      <c r="C35" s="2" t="str">
        <f t="shared" si="0"/>
        <v>Night_125m_0.2-0.5 mm</v>
      </c>
      <c r="D35" s="4" t="s">
        <v>43</v>
      </c>
      <c r="E35" s="5" t="s">
        <v>31</v>
      </c>
      <c r="G35" s="6" t="s">
        <v>6</v>
      </c>
      <c r="H35" s="7">
        <v>7</v>
      </c>
      <c r="I35" s="4">
        <v>125</v>
      </c>
      <c r="J35" s="4">
        <v>200</v>
      </c>
      <c r="K35" s="4" t="s">
        <v>8</v>
      </c>
      <c r="L35" s="4" t="s">
        <v>23</v>
      </c>
      <c r="M35" s="4" t="s">
        <v>23</v>
      </c>
      <c r="N35" s="27">
        <v>9.8174166666666665</v>
      </c>
      <c r="O35" s="27">
        <v>0.92991666666666661</v>
      </c>
      <c r="P35" s="27">
        <v>-12.419583333333332</v>
      </c>
      <c r="Q35" s="27">
        <v>1.9609999999999999</v>
      </c>
      <c r="R35" s="27">
        <v>8.1272916666666681</v>
      </c>
      <c r="S35" s="27">
        <v>7.4605416666666668</v>
      </c>
      <c r="T35" s="27">
        <v>7.6960833333333332</v>
      </c>
      <c r="U35" s="27">
        <v>7.1049583333333333</v>
      </c>
      <c r="V35" s="27">
        <v>7.6363333333333339</v>
      </c>
      <c r="W35" s="27">
        <v>1.7800833333333332</v>
      </c>
      <c r="X35" s="27">
        <v>11.226291666666665</v>
      </c>
      <c r="Y35" s="27">
        <v>-3.4918750000000003</v>
      </c>
      <c r="Z35" s="27">
        <v>2.7795416666666668</v>
      </c>
      <c r="AA35" s="27">
        <v>-0.47962500000000002</v>
      </c>
      <c r="AB35" s="16">
        <v>0.31328793997428817</v>
      </c>
      <c r="AC35" s="16">
        <v>0.40912671223799013</v>
      </c>
      <c r="AD35" s="16">
        <v>0.67941641624755178</v>
      </c>
      <c r="AE35" s="16">
        <v>0.60362101796850576</v>
      </c>
      <c r="AF35" s="16">
        <v>0.66364291352101934</v>
      </c>
      <c r="AG35" s="16">
        <v>0.42391262857653406</v>
      </c>
      <c r="AH35" s="16">
        <v>0.85135891373732653</v>
      </c>
      <c r="AI35" s="16">
        <v>0.2775138134700087</v>
      </c>
      <c r="AJ35" s="16">
        <v>0.31997135288439021</v>
      </c>
      <c r="AK35" s="16">
        <v>0.81391338605529806</v>
      </c>
      <c r="AL35" s="16">
        <v>0.48709059732251053</v>
      </c>
      <c r="AM35" s="16">
        <v>0.88609249893375519</v>
      </c>
      <c r="AN35" s="16">
        <v>0.53979401935676607</v>
      </c>
      <c r="AO35" s="16">
        <v>0.64594265741369539</v>
      </c>
    </row>
    <row r="36" spans="1:41" x14ac:dyDescent="0.75">
      <c r="A36" s="2" t="s">
        <v>96</v>
      </c>
      <c r="B36" s="2" t="s">
        <v>96</v>
      </c>
      <c r="C36" s="2" t="str">
        <f t="shared" si="0"/>
        <v>Night_400m_0.2-0.5 mm</v>
      </c>
      <c r="D36" s="4" t="s">
        <v>43</v>
      </c>
      <c r="E36" s="5" t="s">
        <v>31</v>
      </c>
      <c r="G36" s="6" t="s">
        <v>6</v>
      </c>
      <c r="H36" s="7">
        <v>4</v>
      </c>
      <c r="I36" s="4">
        <v>400</v>
      </c>
      <c r="J36" s="4">
        <v>200</v>
      </c>
      <c r="K36" s="4" t="s">
        <v>8</v>
      </c>
      <c r="L36" s="4" t="s">
        <v>23</v>
      </c>
      <c r="M36" s="4" t="s">
        <v>23</v>
      </c>
      <c r="N36" s="27">
        <v>17.373000000000001</v>
      </c>
      <c r="O36" s="27">
        <v>4.9604999999999997</v>
      </c>
      <c r="P36" s="27">
        <v>-14.7285</v>
      </c>
      <c r="Q36" s="27">
        <v>5.5703333333333322</v>
      </c>
      <c r="R36" s="27">
        <v>15.150666666666666</v>
      </c>
      <c r="S36" s="27">
        <v>13.384499999999999</v>
      </c>
      <c r="T36" s="27">
        <v>14.553999999999998</v>
      </c>
      <c r="U36" s="27">
        <v>12.631</v>
      </c>
      <c r="V36" s="27">
        <v>13.112333333333334</v>
      </c>
      <c r="W36" s="27">
        <v>4.4845000000000006</v>
      </c>
      <c r="X36" s="27">
        <v>16.841999999999999</v>
      </c>
      <c r="Y36" s="27">
        <v>-1.1095000000000002</v>
      </c>
      <c r="Z36" s="27">
        <v>5.3108333333333348</v>
      </c>
      <c r="AA36" s="27">
        <v>1.2056666666666667</v>
      </c>
      <c r="AB36" s="16">
        <v>0.43702631499716355</v>
      </c>
      <c r="AC36" s="16">
        <v>0.28549022166558791</v>
      </c>
      <c r="AD36" s="16">
        <v>0.41898528215996644</v>
      </c>
      <c r="AE36" s="16">
        <v>0.83987002962760438</v>
      </c>
      <c r="AF36" s="16">
        <v>0.84868565048157463</v>
      </c>
      <c r="AG36" s="16">
        <v>0.34523856486010757</v>
      </c>
      <c r="AH36" s="16">
        <v>0.57427345402691254</v>
      </c>
      <c r="AI36" s="16">
        <v>0.25398162663205859</v>
      </c>
      <c r="AJ36" s="16">
        <v>0.20219627428153328</v>
      </c>
      <c r="AK36" s="16">
        <v>0.39850303219256256</v>
      </c>
      <c r="AL36" s="16">
        <v>0.18024612802128853</v>
      </c>
      <c r="AM36" s="16">
        <v>0.39345139471096069</v>
      </c>
      <c r="AN36" s="16">
        <v>0.58988077891497137</v>
      </c>
      <c r="AO36" s="16">
        <v>0.41551454045957764</v>
      </c>
    </row>
    <row r="37" spans="1:41" x14ac:dyDescent="0.75">
      <c r="A37" s="2" t="s">
        <v>96</v>
      </c>
      <c r="B37" s="2" t="s">
        <v>96</v>
      </c>
      <c r="C37" s="2" t="str">
        <f t="shared" si="0"/>
        <v>Night_850m_0.2-0.5 mm</v>
      </c>
      <c r="D37" s="4" t="s">
        <v>43</v>
      </c>
      <c r="E37" s="5" t="s">
        <v>31</v>
      </c>
      <c r="G37" s="6" t="s">
        <v>6</v>
      </c>
      <c r="H37" s="7">
        <v>2</v>
      </c>
      <c r="I37" s="4">
        <v>850</v>
      </c>
      <c r="J37" s="4">
        <v>200</v>
      </c>
      <c r="K37" s="4" t="s">
        <v>8</v>
      </c>
      <c r="L37" s="4" t="s">
        <v>23</v>
      </c>
      <c r="M37" s="4" t="s">
        <v>23</v>
      </c>
      <c r="N37" s="27">
        <v>19.97625</v>
      </c>
      <c r="O37" s="27">
        <v>7.9002500000000007</v>
      </c>
      <c r="P37" s="27">
        <v>-18.048999999999999</v>
      </c>
      <c r="Q37" s="27">
        <v>10.62</v>
      </c>
      <c r="R37" s="27">
        <v>20.03875</v>
      </c>
      <c r="S37" s="27">
        <v>16.00075</v>
      </c>
      <c r="T37" s="27">
        <v>17.087</v>
      </c>
      <c r="U37" s="27">
        <v>14.430250000000001</v>
      </c>
      <c r="V37" s="27">
        <v>14.553000000000001</v>
      </c>
      <c r="W37" s="27">
        <v>6.2480000000000002</v>
      </c>
      <c r="X37" s="27">
        <v>19.058250000000001</v>
      </c>
      <c r="Y37" s="27">
        <v>0.48325000000000007</v>
      </c>
      <c r="Z37" s="27">
        <v>8.6820000000000022</v>
      </c>
      <c r="AA37" s="27">
        <v>4.2160000000000002</v>
      </c>
      <c r="AB37" s="16">
        <v>0.1840332850328974</v>
      </c>
      <c r="AC37" s="16">
        <v>0.37448575851870958</v>
      </c>
      <c r="AD37" s="16">
        <v>0.48365207880596672</v>
      </c>
      <c r="AE37" s="16">
        <v>0.48349905205008731</v>
      </c>
      <c r="AF37" s="16">
        <v>0.46924789113360266</v>
      </c>
      <c r="AG37" s="16">
        <v>0.32469716660297415</v>
      </c>
      <c r="AH37" s="16">
        <v>0.41107095900018659</v>
      </c>
      <c r="AI37" s="16">
        <v>0.23802153263938067</v>
      </c>
      <c r="AJ37" s="16">
        <v>0.32584249773983331</v>
      </c>
      <c r="AK37" s="16">
        <v>0.63273638534016152</v>
      </c>
      <c r="AL37" s="16">
        <v>0.72056800511818453</v>
      </c>
      <c r="AM37" s="16">
        <v>0.58058268145028225</v>
      </c>
      <c r="AN37" s="16">
        <v>0.70033658574526403</v>
      </c>
      <c r="AO37" s="16">
        <v>0.65368035001826241</v>
      </c>
    </row>
    <row r="38" spans="1:41" x14ac:dyDescent="0.75">
      <c r="A38" s="2" t="s">
        <v>96</v>
      </c>
      <c r="B38" s="2" t="s">
        <v>96</v>
      </c>
      <c r="C38" s="2" t="str">
        <f t="shared" si="0"/>
        <v>Night_1250m_0.2-0.5 mm</v>
      </c>
      <c r="D38" s="4" t="s">
        <v>43</v>
      </c>
      <c r="E38" s="5" t="s">
        <v>31</v>
      </c>
      <c r="G38" s="6" t="s">
        <v>6</v>
      </c>
      <c r="H38" s="7">
        <v>1</v>
      </c>
      <c r="I38" s="4">
        <v>1250</v>
      </c>
      <c r="J38" s="4">
        <v>200</v>
      </c>
      <c r="K38" s="4" t="s">
        <v>8</v>
      </c>
      <c r="L38" s="4" t="s">
        <v>23</v>
      </c>
      <c r="M38" s="4" t="s">
        <v>23</v>
      </c>
      <c r="N38" s="27">
        <v>21.632666666666665</v>
      </c>
      <c r="O38" s="27">
        <v>9.7948333333333348</v>
      </c>
      <c r="P38" s="27">
        <v>-16.293166666666668</v>
      </c>
      <c r="Q38" s="27">
        <v>9.788333333333334</v>
      </c>
      <c r="R38" s="27">
        <v>19.91</v>
      </c>
      <c r="S38" s="27">
        <v>18.768333333333331</v>
      </c>
      <c r="T38" s="27">
        <v>20.701999999999998</v>
      </c>
      <c r="U38" s="27">
        <v>15.879333333333332</v>
      </c>
      <c r="V38" s="27">
        <v>15.865333333333334</v>
      </c>
      <c r="W38" s="27">
        <v>5.8753333333333337</v>
      </c>
      <c r="X38" s="27">
        <v>19.475500000000004</v>
      </c>
      <c r="Y38" s="27">
        <v>0.9331666666666667</v>
      </c>
      <c r="Z38" s="27">
        <v>8.8335000000000008</v>
      </c>
      <c r="AA38" s="27">
        <v>4.7130000000000001</v>
      </c>
      <c r="AB38" s="16">
        <v>0.36295683857266925</v>
      </c>
      <c r="AC38" s="16">
        <v>0.66848809513209317</v>
      </c>
      <c r="AD38" s="16">
        <v>0.76248759552751644</v>
      </c>
      <c r="AE38" s="16">
        <v>1.2189641777618674</v>
      </c>
      <c r="AF38" s="16">
        <v>0.71132552323110221</v>
      </c>
      <c r="AG38" s="16">
        <v>0.38309876881382227</v>
      </c>
      <c r="AH38" s="16">
        <v>0.50071914949067708</v>
      </c>
      <c r="AI38" s="16">
        <v>0.33183530051317023</v>
      </c>
      <c r="AJ38" s="16">
        <v>0.64100572020328583</v>
      </c>
      <c r="AK38" s="16">
        <v>0.81886425411461294</v>
      </c>
      <c r="AL38" s="16">
        <v>0.87059902749007712</v>
      </c>
      <c r="AM38" s="16">
        <v>0.65207693820080237</v>
      </c>
      <c r="AN38" s="16">
        <v>0.96530496044859648</v>
      </c>
      <c r="AO38" s="16">
        <v>1.0887592326435931</v>
      </c>
    </row>
    <row r="39" spans="1:41" x14ac:dyDescent="0.75">
      <c r="A39" s="2" t="s">
        <v>96</v>
      </c>
      <c r="B39" s="2" t="s">
        <v>96</v>
      </c>
      <c r="C39" s="2" t="str">
        <f t="shared" si="0"/>
        <v>Day_25m_1-2 mm</v>
      </c>
      <c r="D39" s="4" t="s">
        <v>43</v>
      </c>
      <c r="E39" s="5" t="s">
        <v>31</v>
      </c>
      <c r="G39" s="6" t="s">
        <v>5</v>
      </c>
      <c r="H39" s="6">
        <v>9</v>
      </c>
      <c r="I39" s="4">
        <v>25</v>
      </c>
      <c r="J39" s="4">
        <v>1000</v>
      </c>
      <c r="K39" s="4" t="s">
        <v>9</v>
      </c>
      <c r="L39" s="4" t="s">
        <v>23</v>
      </c>
      <c r="M39" s="4" t="s">
        <v>23</v>
      </c>
      <c r="N39" s="28">
        <v>12.406666666666666</v>
      </c>
      <c r="O39" s="28">
        <v>2.6049166666666665</v>
      </c>
      <c r="P39" s="28">
        <v>-12.252375000000001</v>
      </c>
      <c r="Q39" s="28">
        <v>2.3887499999999999</v>
      </c>
      <c r="R39" s="28">
        <v>9.9575833333333339</v>
      </c>
      <c r="S39" s="28">
        <v>6.9036249999999999</v>
      </c>
      <c r="T39" s="28">
        <v>8.2197500000000012</v>
      </c>
      <c r="U39" s="28">
        <v>6.5474999999999994</v>
      </c>
      <c r="V39" s="28">
        <v>8.4392916666666657</v>
      </c>
      <c r="W39" s="28">
        <v>0.22883333333333328</v>
      </c>
      <c r="X39" s="28">
        <v>10.975208333333335</v>
      </c>
      <c r="Y39" s="28">
        <v>-4.0796250000000001</v>
      </c>
      <c r="Z39" s="28">
        <v>-0.15137500000000004</v>
      </c>
      <c r="AA39" s="28">
        <v>-2.1938333333333335</v>
      </c>
      <c r="AB39" s="16">
        <v>0.29226015807838041</v>
      </c>
      <c r="AC39" s="16">
        <v>0.49976361078680637</v>
      </c>
      <c r="AD39" s="16">
        <v>0.74834344833549937</v>
      </c>
      <c r="AE39" s="16">
        <v>0.85260580966040111</v>
      </c>
      <c r="AF39" s="16">
        <v>0.94101806571393776</v>
      </c>
      <c r="AG39" s="16">
        <v>0.43924015830370827</v>
      </c>
      <c r="AH39" s="16">
        <v>0.85511461220119489</v>
      </c>
      <c r="AI39" s="16">
        <v>0.53072686007022485</v>
      </c>
      <c r="AJ39" s="16">
        <v>0.33604649975859019</v>
      </c>
      <c r="AK39" s="16">
        <v>0.63546911805374151</v>
      </c>
      <c r="AL39" s="16">
        <v>0.34974645578380509</v>
      </c>
      <c r="AM39" s="16">
        <v>0.87032900867047847</v>
      </c>
      <c r="AN39" s="16">
        <v>0.89759934454818613</v>
      </c>
      <c r="AO39" s="16">
        <v>0.54496880644675239</v>
      </c>
    </row>
    <row r="40" spans="1:41" x14ac:dyDescent="0.75">
      <c r="A40" s="2" t="s">
        <v>96</v>
      </c>
      <c r="B40" s="2" t="s">
        <v>96</v>
      </c>
      <c r="C40" s="2" t="str">
        <f t="shared" si="0"/>
        <v>Day_125m_1-2 mm</v>
      </c>
      <c r="D40" s="4" t="s">
        <v>43</v>
      </c>
      <c r="E40" s="5" t="s">
        <v>31</v>
      </c>
      <c r="G40" s="6" t="s">
        <v>5</v>
      </c>
      <c r="H40" s="6">
        <v>7</v>
      </c>
      <c r="I40" s="4">
        <v>125</v>
      </c>
      <c r="J40" s="4">
        <v>1000</v>
      </c>
      <c r="K40" s="4" t="s">
        <v>9</v>
      </c>
      <c r="L40" s="4" t="s">
        <v>23</v>
      </c>
      <c r="M40" s="4" t="s">
        <v>23</v>
      </c>
      <c r="N40" s="28">
        <v>13.9695</v>
      </c>
      <c r="O40" s="28">
        <v>1.1226666666666667</v>
      </c>
      <c r="P40" s="28">
        <v>-15.208666666666666</v>
      </c>
      <c r="Q40" s="28">
        <v>2.668333333333333</v>
      </c>
      <c r="R40" s="28">
        <v>11.775166666666667</v>
      </c>
      <c r="S40" s="28">
        <v>10.063166666666667</v>
      </c>
      <c r="T40" s="28">
        <v>10.823333333333334</v>
      </c>
      <c r="U40" s="28">
        <v>8.4231666666666669</v>
      </c>
      <c r="V40" s="28">
        <v>9.5244999999999997</v>
      </c>
      <c r="W40" s="28">
        <v>2.4369999999999998</v>
      </c>
      <c r="X40" s="28">
        <v>13.372</v>
      </c>
      <c r="Y40" s="28">
        <v>-3.4575000000000005</v>
      </c>
      <c r="Z40" s="28">
        <v>2.5391666666666666</v>
      </c>
      <c r="AA40" s="28">
        <v>-0.78033333333333332</v>
      </c>
      <c r="AB40" s="16">
        <v>0.37981969406548666</v>
      </c>
      <c r="AC40" s="16">
        <v>0.5238947095234564</v>
      </c>
      <c r="AD40" s="16">
        <v>0.72505815858683598</v>
      </c>
      <c r="AE40" s="16">
        <v>0.2613248297936242</v>
      </c>
      <c r="AF40" s="16">
        <v>0.72713708015293321</v>
      </c>
      <c r="AG40" s="16">
        <v>0.38280499822581615</v>
      </c>
      <c r="AH40" s="16">
        <v>0.23344521127379461</v>
      </c>
      <c r="AI40" s="16">
        <v>0.21541432945218233</v>
      </c>
      <c r="AJ40" s="16">
        <v>7.5476265585060348E-2</v>
      </c>
      <c r="AK40" s="16">
        <v>0.70832337247898602</v>
      </c>
      <c r="AL40" s="16">
        <v>0.31094801280385537</v>
      </c>
      <c r="AM40" s="16">
        <v>0.62277978986690652</v>
      </c>
      <c r="AN40" s="16">
        <v>0.55388747352989709</v>
      </c>
      <c r="AO40" s="16">
        <v>0.45093162822464955</v>
      </c>
    </row>
    <row r="41" spans="1:41" x14ac:dyDescent="0.75">
      <c r="A41" s="2" t="s">
        <v>96</v>
      </c>
      <c r="B41" s="2" t="s">
        <v>96</v>
      </c>
      <c r="C41" s="2" t="str">
        <f t="shared" si="0"/>
        <v>Day_400m_1-2 mm</v>
      </c>
      <c r="D41" s="4" t="s">
        <v>43</v>
      </c>
      <c r="E41" s="5" t="s">
        <v>31</v>
      </c>
      <c r="G41" s="6" t="s">
        <v>5</v>
      </c>
      <c r="H41" s="6">
        <v>4</v>
      </c>
      <c r="I41" s="4">
        <v>400</v>
      </c>
      <c r="J41" s="4">
        <v>1000</v>
      </c>
      <c r="K41" s="4" t="s">
        <v>9</v>
      </c>
      <c r="L41" s="4" t="s">
        <v>23</v>
      </c>
      <c r="M41" s="4" t="s">
        <v>23</v>
      </c>
      <c r="N41" s="28">
        <v>14.190000000000001</v>
      </c>
      <c r="O41" s="28">
        <v>0.91287499999999999</v>
      </c>
      <c r="P41" s="28">
        <v>-14.316374999999999</v>
      </c>
      <c r="Q41" s="28">
        <v>3.3021250000000002</v>
      </c>
      <c r="R41" s="28">
        <v>12.669833333333333</v>
      </c>
      <c r="S41" s="28">
        <v>9.0353750000000002</v>
      </c>
      <c r="T41" s="28">
        <v>9.3606249999999989</v>
      </c>
      <c r="U41" s="28">
        <v>8.3721250000000005</v>
      </c>
      <c r="V41" s="28">
        <v>10.286875</v>
      </c>
      <c r="W41" s="28">
        <v>3.9256250000000001</v>
      </c>
      <c r="X41" s="28">
        <v>14.188124999999999</v>
      </c>
      <c r="Y41" s="28">
        <v>-2.2898749999999999</v>
      </c>
      <c r="Z41" s="28">
        <v>4.2990000000000004</v>
      </c>
      <c r="AA41" s="28">
        <v>-4.3250000000000004E-2</v>
      </c>
      <c r="AB41" s="16">
        <v>0.30320922369435505</v>
      </c>
      <c r="AC41" s="16">
        <v>0.30554145927080556</v>
      </c>
      <c r="AD41" s="16">
        <v>0.48745486970590413</v>
      </c>
      <c r="AE41" s="16">
        <v>0.30602110493668039</v>
      </c>
      <c r="AF41" s="16">
        <v>0.71439601529310526</v>
      </c>
      <c r="AG41" s="16">
        <v>0.42773034729838832</v>
      </c>
      <c r="AH41" s="16">
        <v>0.77531622580725079</v>
      </c>
      <c r="AI41" s="16">
        <v>0.5153939431800364</v>
      </c>
      <c r="AJ41" s="16">
        <v>0.15824743283857731</v>
      </c>
      <c r="AK41" s="16">
        <v>0.54999780302591694</v>
      </c>
      <c r="AL41" s="16">
        <v>0.2520798484607607</v>
      </c>
      <c r="AM41" s="16">
        <v>0.57728755111007513</v>
      </c>
      <c r="AN41" s="16">
        <v>0.95636281469603468</v>
      </c>
      <c r="AO41" s="16">
        <v>0.41964250658546653</v>
      </c>
    </row>
    <row r="42" spans="1:41" x14ac:dyDescent="0.75">
      <c r="A42" s="2" t="s">
        <v>96</v>
      </c>
      <c r="B42" s="2" t="s">
        <v>96</v>
      </c>
      <c r="C42" s="2" t="str">
        <f t="shared" si="0"/>
        <v>Day_850m_1-2 mm</v>
      </c>
      <c r="D42" s="4" t="s">
        <v>43</v>
      </c>
      <c r="E42" s="5" t="s">
        <v>31</v>
      </c>
      <c r="G42" s="6" t="s">
        <v>5</v>
      </c>
      <c r="H42" s="4">
        <v>2</v>
      </c>
      <c r="I42" s="4">
        <v>850</v>
      </c>
      <c r="J42" s="4">
        <v>1000</v>
      </c>
      <c r="K42" s="4" t="s">
        <v>9</v>
      </c>
      <c r="L42" s="4" t="s">
        <v>23</v>
      </c>
      <c r="M42" s="4" t="s">
        <v>23</v>
      </c>
      <c r="N42" s="28">
        <v>19.195</v>
      </c>
      <c r="O42" s="28">
        <v>4.3017500000000002</v>
      </c>
      <c r="P42" s="28">
        <v>-18.006625</v>
      </c>
      <c r="Q42" s="28">
        <v>6.5597500000000002</v>
      </c>
      <c r="R42" s="28">
        <v>15.281500000000001</v>
      </c>
      <c r="S42" s="28">
        <v>14.337</v>
      </c>
      <c r="T42" s="28">
        <v>14.522125000000001</v>
      </c>
      <c r="U42" s="28">
        <v>14.492625</v>
      </c>
      <c r="V42" s="28">
        <v>14.747875000000001</v>
      </c>
      <c r="W42" s="28">
        <v>5.0444999999999993</v>
      </c>
      <c r="X42" s="28">
        <v>19.005624999999998</v>
      </c>
      <c r="Y42" s="28">
        <v>-0.48912500000000003</v>
      </c>
      <c r="Z42" s="28">
        <v>7.1686250000000005</v>
      </c>
      <c r="AA42" s="28">
        <v>2.3445</v>
      </c>
      <c r="AB42" s="16">
        <v>0.31193348649992719</v>
      </c>
      <c r="AC42" s="16">
        <v>0.45861421696236138</v>
      </c>
      <c r="AD42" s="16">
        <v>0.78156781535577524</v>
      </c>
      <c r="AE42" s="16">
        <v>0.48533115842003499</v>
      </c>
      <c r="AF42" s="16">
        <v>0.81294393000583609</v>
      </c>
      <c r="AG42" s="16">
        <v>0.36267593431786088</v>
      </c>
      <c r="AH42" s="16">
        <v>0.71923958687862322</v>
      </c>
      <c r="AI42" s="16">
        <v>0.28479861305842102</v>
      </c>
      <c r="AJ42" s="16">
        <v>0.46751212105498741</v>
      </c>
      <c r="AK42" s="16">
        <v>0.75615871349869412</v>
      </c>
      <c r="AL42" s="16">
        <v>0.36150138312321906</v>
      </c>
      <c r="AM42" s="16">
        <v>0.73353135583968065</v>
      </c>
      <c r="AN42" s="16">
        <v>0.98549306610109555</v>
      </c>
      <c r="AO42" s="16">
        <v>0.40969419489826148</v>
      </c>
    </row>
    <row r="43" spans="1:41" x14ac:dyDescent="0.75">
      <c r="A43" s="2" t="s">
        <v>96</v>
      </c>
      <c r="B43" s="2" t="s">
        <v>96</v>
      </c>
      <c r="C43" s="2" t="str">
        <f t="shared" si="0"/>
        <v>Day_1250m_1-2 mm</v>
      </c>
      <c r="D43" s="4" t="s">
        <v>43</v>
      </c>
      <c r="E43" s="5" t="s">
        <v>31</v>
      </c>
      <c r="G43" s="6" t="s">
        <v>5</v>
      </c>
      <c r="H43" s="6">
        <v>1</v>
      </c>
      <c r="I43" s="4">
        <v>1250</v>
      </c>
      <c r="J43" s="4">
        <v>1000</v>
      </c>
      <c r="K43" s="4" t="s">
        <v>9</v>
      </c>
      <c r="L43" s="4" t="s">
        <v>23</v>
      </c>
      <c r="M43" s="4" t="s">
        <v>23</v>
      </c>
      <c r="N43" s="28">
        <v>20.040075000000002</v>
      </c>
      <c r="O43" s="28">
        <v>6.9453999999999994</v>
      </c>
      <c r="P43" s="28">
        <v>-19.690375</v>
      </c>
      <c r="Q43" s="28">
        <v>7.8505250000000011</v>
      </c>
      <c r="R43" s="28">
        <v>15.184725</v>
      </c>
      <c r="S43" s="28">
        <v>15.505524999999999</v>
      </c>
      <c r="T43" s="28">
        <v>16.014624999999999</v>
      </c>
      <c r="U43" s="28">
        <v>17</v>
      </c>
      <c r="V43" s="28">
        <v>15.061325</v>
      </c>
      <c r="W43" s="28">
        <v>4.8615500000000003</v>
      </c>
      <c r="X43" s="28">
        <v>18.859324999999998</v>
      </c>
      <c r="Y43" s="28">
        <v>0.79780000000000006</v>
      </c>
      <c r="Z43" s="28">
        <v>6.6489499999999992</v>
      </c>
      <c r="AA43" s="28">
        <v>2.2391000000000001</v>
      </c>
      <c r="AB43" s="16">
        <v>0.18606822225552977</v>
      </c>
      <c r="AC43" s="16">
        <v>0.86919610368815348</v>
      </c>
      <c r="AD43" s="16">
        <v>1.0765302674178123</v>
      </c>
      <c r="AE43" s="16">
        <v>0.78360552363205516</v>
      </c>
      <c r="AF43" s="16">
        <v>0.93221525590033827</v>
      </c>
      <c r="AG43" s="16">
        <v>0.51313329977047262</v>
      </c>
      <c r="AH43" s="16">
        <v>0.96965728481768232</v>
      </c>
      <c r="AI43" s="16">
        <v>0.7456516165967404</v>
      </c>
      <c r="AJ43" s="16">
        <v>0.58649400394775264</v>
      </c>
      <c r="AK43" s="16">
        <v>0.98486190233283699</v>
      </c>
      <c r="AL43" s="16">
        <v>0.76506375551322536</v>
      </c>
      <c r="AM43" s="16">
        <v>0.7683229355767881</v>
      </c>
      <c r="AN43" s="16">
        <v>0.82456703790535402</v>
      </c>
      <c r="AO43" s="16">
        <v>0.81362114443189537</v>
      </c>
    </row>
    <row r="44" spans="1:41" x14ac:dyDescent="0.75">
      <c r="A44" s="2" t="s">
        <v>96</v>
      </c>
      <c r="B44" s="2" t="s">
        <v>96</v>
      </c>
      <c r="C44" s="2" t="str">
        <f t="shared" si="0"/>
        <v>Night_25m_1-2 mm</v>
      </c>
      <c r="D44" s="4" t="s">
        <v>43</v>
      </c>
      <c r="E44" s="5" t="s">
        <v>31</v>
      </c>
      <c r="G44" s="6" t="s">
        <v>6</v>
      </c>
      <c r="H44" s="6">
        <v>9</v>
      </c>
      <c r="I44" s="4">
        <v>25</v>
      </c>
      <c r="J44" s="4">
        <v>1000</v>
      </c>
      <c r="K44" s="4" t="s">
        <v>9</v>
      </c>
      <c r="L44" s="4" t="s">
        <v>23</v>
      </c>
      <c r="M44" s="4" t="s">
        <v>23</v>
      </c>
      <c r="N44" s="28">
        <v>12.531124999999999</v>
      </c>
      <c r="O44" s="28">
        <v>1.222</v>
      </c>
      <c r="P44" s="28">
        <v>-12.8995</v>
      </c>
      <c r="Q44" s="28">
        <v>3.0497500000000004</v>
      </c>
      <c r="R44" s="28">
        <v>10.536249999999999</v>
      </c>
      <c r="S44" s="28">
        <v>7.296125</v>
      </c>
      <c r="T44" s="28">
        <v>8.1267500000000013</v>
      </c>
      <c r="U44" s="28">
        <v>7.1037500000000007</v>
      </c>
      <c r="V44" s="28">
        <v>8.4777500000000003</v>
      </c>
      <c r="W44" s="28">
        <v>1.9018750000000002</v>
      </c>
      <c r="X44" s="28">
        <v>11.506</v>
      </c>
      <c r="Y44" s="28">
        <v>-4.141375</v>
      </c>
      <c r="Z44" s="28">
        <v>1.6852499999999999</v>
      </c>
      <c r="AA44" s="28">
        <v>-1.4067499999999997</v>
      </c>
      <c r="AB44" s="16">
        <v>0.51757342474280876</v>
      </c>
      <c r="AC44" s="16">
        <v>0.62478956457354506</v>
      </c>
      <c r="AD44" s="16">
        <v>0.70113099108987287</v>
      </c>
      <c r="AE44" s="16">
        <v>0.86152868011846351</v>
      </c>
      <c r="AF44" s="16">
        <v>0.65012537252440783</v>
      </c>
      <c r="AG44" s="16">
        <v>0.60317431145565203</v>
      </c>
      <c r="AH44" s="16">
        <v>0.92993324133151245</v>
      </c>
      <c r="AI44" s="16">
        <v>0.34920051546353725</v>
      </c>
      <c r="AJ44" s="16">
        <v>0.39459831896921899</v>
      </c>
      <c r="AK44" s="16">
        <v>0.74561266754260458</v>
      </c>
      <c r="AL44" s="16">
        <v>0.209625062114878</v>
      </c>
      <c r="AM44" s="16">
        <v>0.46684642371269525</v>
      </c>
      <c r="AN44" s="16">
        <v>1.0623476361342374</v>
      </c>
      <c r="AO44" s="16">
        <v>0.51339117639476584</v>
      </c>
    </row>
    <row r="45" spans="1:41" x14ac:dyDescent="0.75">
      <c r="A45" s="2" t="s">
        <v>96</v>
      </c>
      <c r="B45" s="2" t="s">
        <v>96</v>
      </c>
      <c r="C45" s="2" t="str">
        <f t="shared" si="0"/>
        <v>Night_125m_1-2 mm</v>
      </c>
      <c r="D45" s="4" t="s">
        <v>43</v>
      </c>
      <c r="E45" s="5" t="s">
        <v>31</v>
      </c>
      <c r="G45" s="6" t="s">
        <v>6</v>
      </c>
      <c r="H45" s="6">
        <v>7</v>
      </c>
      <c r="I45" s="4">
        <v>125</v>
      </c>
      <c r="J45" s="4">
        <v>1000</v>
      </c>
      <c r="K45" s="4" t="s">
        <v>9</v>
      </c>
      <c r="L45" s="4" t="s">
        <v>23</v>
      </c>
      <c r="M45" s="4" t="s">
        <v>23</v>
      </c>
      <c r="N45" s="27">
        <v>15.531666666666666</v>
      </c>
      <c r="O45" s="27">
        <v>1.7002916666666668</v>
      </c>
      <c r="P45" s="27">
        <v>-13.622833333333332</v>
      </c>
      <c r="Q45" s="27">
        <v>4.1105833333333335</v>
      </c>
      <c r="R45" s="27">
        <v>12.489541666666668</v>
      </c>
      <c r="S45" s="27">
        <v>9.5719166666666666</v>
      </c>
      <c r="T45" s="27">
        <v>10.019333333333334</v>
      </c>
      <c r="U45" s="27">
        <v>8.5426249999999992</v>
      </c>
      <c r="V45" s="27">
        <v>10.526916666666667</v>
      </c>
      <c r="W45" s="27">
        <v>3.3065000000000002</v>
      </c>
      <c r="X45" s="27">
        <v>14.31875</v>
      </c>
      <c r="Y45" s="27">
        <v>-3.3619166666666667</v>
      </c>
      <c r="Z45" s="27">
        <v>3.3067083333333334</v>
      </c>
      <c r="AA45" s="27">
        <v>-0.28324999999999995</v>
      </c>
      <c r="AB45" s="16">
        <v>0.29714474587311768</v>
      </c>
      <c r="AC45" s="16">
        <v>0.87911162544923649</v>
      </c>
      <c r="AD45" s="16">
        <v>0.54020582497167957</v>
      </c>
      <c r="AE45" s="16">
        <v>0.48813112992309987</v>
      </c>
      <c r="AF45" s="16">
        <v>1.0375657007309618</v>
      </c>
      <c r="AG45" s="16">
        <v>0.18729477657781426</v>
      </c>
      <c r="AH45" s="16">
        <v>0.66698900540663553</v>
      </c>
      <c r="AI45" s="16">
        <v>0.28768139205261983</v>
      </c>
      <c r="AJ45" s="16">
        <v>0.40130952310321899</v>
      </c>
      <c r="AK45" s="16">
        <v>0.28935387791883249</v>
      </c>
      <c r="AL45" s="16">
        <v>0.52470436120416108</v>
      </c>
      <c r="AM45" s="16">
        <v>0.99460813053852282</v>
      </c>
      <c r="AN45" s="16">
        <v>0.7971601156605872</v>
      </c>
      <c r="AO45" s="16">
        <v>0.60248208825380578</v>
      </c>
    </row>
    <row r="46" spans="1:41" x14ac:dyDescent="0.75">
      <c r="A46" s="2" t="s">
        <v>96</v>
      </c>
      <c r="B46" s="2" t="s">
        <v>96</v>
      </c>
      <c r="C46" s="2" t="str">
        <f t="shared" si="0"/>
        <v>Night_400m_1-2 mm</v>
      </c>
      <c r="D46" s="4" t="s">
        <v>43</v>
      </c>
      <c r="E46" s="5" t="s">
        <v>31</v>
      </c>
      <c r="G46" s="6" t="s">
        <v>6</v>
      </c>
      <c r="H46" s="6">
        <v>4</v>
      </c>
      <c r="I46" s="4">
        <v>400</v>
      </c>
      <c r="J46" s="4">
        <v>1000</v>
      </c>
      <c r="K46" s="4" t="s">
        <v>9</v>
      </c>
      <c r="L46" s="4" t="s">
        <v>23</v>
      </c>
      <c r="M46" s="4" t="s">
        <v>23</v>
      </c>
      <c r="N46" s="27">
        <v>17.052416666666666</v>
      </c>
      <c r="O46" s="27">
        <v>3.9210000000000003</v>
      </c>
      <c r="P46" s="27">
        <v>-15.820541666666667</v>
      </c>
      <c r="Q46" s="27">
        <v>4.9901249999999999</v>
      </c>
      <c r="R46" s="27">
        <v>14.31775</v>
      </c>
      <c r="S46" s="27">
        <v>11.648541666666667</v>
      </c>
      <c r="T46" s="27">
        <v>13.252833333333331</v>
      </c>
      <c r="U46" s="27">
        <v>11.555166666666668</v>
      </c>
      <c r="V46" s="27">
        <v>13.049916666666666</v>
      </c>
      <c r="W46" s="27">
        <v>4.0319583333333338</v>
      </c>
      <c r="X46" s="27">
        <v>16.736625</v>
      </c>
      <c r="Y46" s="27">
        <v>-1.2052916666666667</v>
      </c>
      <c r="Z46" s="27">
        <v>5.9822916666666668</v>
      </c>
      <c r="AA46" s="27">
        <v>0.77779166666666666</v>
      </c>
      <c r="AB46" s="16">
        <v>0.58198339037009217</v>
      </c>
      <c r="AC46" s="16">
        <v>0.5294440480352931</v>
      </c>
      <c r="AD46" s="16">
        <v>0.81375994617577529</v>
      </c>
      <c r="AE46" s="16">
        <v>0.51719040658800564</v>
      </c>
      <c r="AF46" s="16">
        <v>0.85182646902601811</v>
      </c>
      <c r="AG46" s="16">
        <v>0.41049593989059924</v>
      </c>
      <c r="AH46" s="16">
        <v>0.78639621057072739</v>
      </c>
      <c r="AI46" s="16">
        <v>0.4989271823957207</v>
      </c>
      <c r="AJ46" s="16">
        <v>0.42340917955723839</v>
      </c>
      <c r="AK46" s="16">
        <v>0.86433514911751408</v>
      </c>
      <c r="AL46" s="16">
        <v>0.44642571237179668</v>
      </c>
      <c r="AM46" s="16">
        <v>0.39563272109369263</v>
      </c>
      <c r="AN46" s="16">
        <v>0.87536692306711594</v>
      </c>
      <c r="AO46" s="16">
        <v>0.69666987638814015</v>
      </c>
    </row>
    <row r="47" spans="1:41" x14ac:dyDescent="0.75">
      <c r="A47" s="2" t="s">
        <v>96</v>
      </c>
      <c r="B47" s="2" t="s">
        <v>96</v>
      </c>
      <c r="C47" s="2" t="str">
        <f t="shared" si="0"/>
        <v>Night_850m_1-2 mm</v>
      </c>
      <c r="D47" s="4" t="s">
        <v>43</v>
      </c>
      <c r="E47" s="5" t="s">
        <v>31</v>
      </c>
      <c r="G47" s="6" t="s">
        <v>6</v>
      </c>
      <c r="H47" s="6">
        <v>2</v>
      </c>
      <c r="I47" s="4">
        <v>850</v>
      </c>
      <c r="J47" s="4">
        <v>1000</v>
      </c>
      <c r="K47" s="4" t="s">
        <v>9</v>
      </c>
      <c r="L47" s="4" t="s">
        <v>23</v>
      </c>
      <c r="M47" s="4" t="s">
        <v>23</v>
      </c>
      <c r="N47" s="27">
        <v>19.683875</v>
      </c>
      <c r="O47" s="27">
        <v>5.928583333333334</v>
      </c>
      <c r="P47" s="27">
        <v>-19.838874999999998</v>
      </c>
      <c r="Q47" s="27">
        <v>8.1512499999999992</v>
      </c>
      <c r="R47" s="27">
        <v>16.927166666666665</v>
      </c>
      <c r="S47" s="27">
        <v>14.897791666666667</v>
      </c>
      <c r="T47" s="27">
        <v>15.941166666666668</v>
      </c>
      <c r="U47" s="27">
        <v>15.769708333333332</v>
      </c>
      <c r="V47" s="27">
        <v>15.273333333333333</v>
      </c>
      <c r="W47" s="27">
        <v>5.0217500000000008</v>
      </c>
      <c r="X47" s="27">
        <v>19.551208333333332</v>
      </c>
      <c r="Y47" s="27">
        <v>0.42595833333333333</v>
      </c>
      <c r="Z47" s="27">
        <v>7.2360000000000007</v>
      </c>
      <c r="AA47" s="27">
        <v>2.4960000000000004</v>
      </c>
      <c r="AB47" s="16">
        <v>0.62722131925926494</v>
      </c>
      <c r="AC47" s="16">
        <v>0.65827856312253297</v>
      </c>
      <c r="AD47" s="16">
        <v>0.56438897638655794</v>
      </c>
      <c r="AE47" s="16">
        <v>0.26115129714401175</v>
      </c>
      <c r="AF47" s="16">
        <v>0.79161817395341072</v>
      </c>
      <c r="AG47" s="16">
        <v>0.39183063943494739</v>
      </c>
      <c r="AH47" s="16">
        <v>1.0334410158946343</v>
      </c>
      <c r="AI47" s="16">
        <v>0.2457707264911746</v>
      </c>
      <c r="AJ47" s="16">
        <v>0.33413220936230176</v>
      </c>
      <c r="AK47" s="16">
        <v>0.91798983291392311</v>
      </c>
      <c r="AL47" s="16">
        <v>0.37046626027210577</v>
      </c>
      <c r="AM47" s="16">
        <v>0.51426217373372241</v>
      </c>
      <c r="AN47" s="16">
        <v>0.43105413426467304</v>
      </c>
      <c r="AO47" s="16">
        <v>0.44213534880923305</v>
      </c>
    </row>
    <row r="48" spans="1:41" x14ac:dyDescent="0.75">
      <c r="A48" s="2" t="s">
        <v>96</v>
      </c>
      <c r="B48" s="2" t="s">
        <v>96</v>
      </c>
      <c r="C48" s="2" t="str">
        <f t="shared" si="0"/>
        <v>Night_1250m_1-2 mm</v>
      </c>
      <c r="D48" s="4" t="s">
        <v>43</v>
      </c>
      <c r="E48" s="5" t="s">
        <v>31</v>
      </c>
      <c r="G48" s="6" t="s">
        <v>6</v>
      </c>
      <c r="H48" s="6">
        <v>1</v>
      </c>
      <c r="I48" s="4">
        <v>1250</v>
      </c>
      <c r="J48" s="4">
        <v>1000</v>
      </c>
      <c r="K48" s="4" t="s">
        <v>9</v>
      </c>
      <c r="L48" s="4" t="s">
        <v>23</v>
      </c>
      <c r="M48" s="4" t="s">
        <v>23</v>
      </c>
      <c r="N48" s="27">
        <v>20.031624999999998</v>
      </c>
      <c r="O48" s="27">
        <v>8.1072500000000005</v>
      </c>
      <c r="P48" s="27">
        <v>-20.213041666666669</v>
      </c>
      <c r="Q48" s="27">
        <v>8.8010000000000002</v>
      </c>
      <c r="R48" s="27">
        <v>19.2225</v>
      </c>
      <c r="S48" s="27">
        <v>16.332374999999999</v>
      </c>
      <c r="T48" s="27">
        <v>17.442250000000001</v>
      </c>
      <c r="U48" s="27">
        <v>16.543500000000002</v>
      </c>
      <c r="V48" s="27">
        <v>15.739125000000001</v>
      </c>
      <c r="W48" s="27">
        <v>5.2699583333333333</v>
      </c>
      <c r="X48" s="27">
        <v>19.471250000000001</v>
      </c>
      <c r="Y48" s="27">
        <v>0.23774999999999996</v>
      </c>
      <c r="Z48" s="27">
        <v>6.5648333333333335</v>
      </c>
      <c r="AA48" s="27">
        <v>1.68</v>
      </c>
      <c r="AB48" s="16">
        <v>0.38973313519210384</v>
      </c>
      <c r="AC48" s="16">
        <v>0.66610784912555043</v>
      </c>
      <c r="AD48" s="16">
        <v>0.96501187384750087</v>
      </c>
      <c r="AE48" s="16">
        <v>0.57222533440361911</v>
      </c>
      <c r="AF48" s="16">
        <v>0.95292671981287991</v>
      </c>
      <c r="AG48" s="16">
        <v>0.55004780095309302</v>
      </c>
      <c r="AH48" s="16">
        <v>0.85328023923366969</v>
      </c>
      <c r="AI48" s="16">
        <v>0.95616517052930361</v>
      </c>
      <c r="AJ48" s="16">
        <v>0.84579661660866545</v>
      </c>
      <c r="AK48" s="16">
        <v>0.51200675451273736</v>
      </c>
      <c r="AL48" s="16">
        <v>1.1135752481684082</v>
      </c>
      <c r="AM48" s="16">
        <v>0.37635931413123463</v>
      </c>
      <c r="AN48" s="16">
        <v>1.0520533890128119</v>
      </c>
      <c r="AO48" s="16">
        <v>1.0661819732109528</v>
      </c>
    </row>
    <row r="49" spans="1:41" x14ac:dyDescent="0.75">
      <c r="A49" s="2" t="s">
        <v>96</v>
      </c>
      <c r="B49" s="2" t="s">
        <v>96</v>
      </c>
      <c r="C49" s="2" t="str">
        <f t="shared" si="0"/>
        <v>Day_25m_Oncaeid</v>
      </c>
      <c r="D49" s="4" t="s">
        <v>43</v>
      </c>
      <c r="E49" s="5" t="s">
        <v>31</v>
      </c>
      <c r="G49" s="4" t="s">
        <v>5</v>
      </c>
      <c r="H49" s="4">
        <v>9</v>
      </c>
      <c r="I49" s="4">
        <v>25</v>
      </c>
      <c r="J49" s="4" t="s">
        <v>16</v>
      </c>
      <c r="K49" s="4" t="s">
        <v>24</v>
      </c>
      <c r="L49" s="4" t="s">
        <v>24</v>
      </c>
      <c r="M49" s="4" t="s">
        <v>75</v>
      </c>
      <c r="N49" s="27">
        <v>9.259666666666666</v>
      </c>
      <c r="O49" s="27">
        <v>3.5843333333333334</v>
      </c>
      <c r="P49" s="27">
        <v>-9.1593333333333344</v>
      </c>
      <c r="Q49" s="27">
        <v>0.3106666666666667</v>
      </c>
      <c r="R49" s="27">
        <v>10.079333333333333</v>
      </c>
      <c r="S49" s="27">
        <v>6.2043333333333335</v>
      </c>
      <c r="T49" s="27">
        <v>6.4603333333333337</v>
      </c>
      <c r="U49" s="27">
        <v>3.9460000000000002</v>
      </c>
      <c r="V49" s="27">
        <v>5.6393333333333331</v>
      </c>
      <c r="W49" s="27">
        <v>1.8606666666666667</v>
      </c>
      <c r="X49" s="27">
        <v>8.3923333333333332</v>
      </c>
      <c r="Y49" s="27">
        <v>-3.6246666666666663</v>
      </c>
      <c r="Z49" s="27"/>
      <c r="AA49" s="27">
        <v>1.1503333333333332</v>
      </c>
      <c r="AB49" s="16">
        <v>0.50727343054149188</v>
      </c>
      <c r="AC49" s="16">
        <v>0.26500817597450338</v>
      </c>
      <c r="AD49" s="16">
        <v>0.77314961898285495</v>
      </c>
      <c r="AE49" s="16">
        <v>0.34703073831194453</v>
      </c>
      <c r="AF49" s="16">
        <v>0.20778915595702593</v>
      </c>
      <c r="AG49" s="16">
        <v>0.17633018270657308</v>
      </c>
      <c r="AH49" s="16">
        <v>0.49851412551033436</v>
      </c>
      <c r="AI49" s="16">
        <v>0.1755021367391294</v>
      </c>
      <c r="AJ49" s="16">
        <v>0.14200469475807234</v>
      </c>
      <c r="AK49" s="16">
        <v>5.9180514811323942E-2</v>
      </c>
      <c r="AL49" s="16">
        <v>0.50407770564996568</v>
      </c>
      <c r="AM49" s="16">
        <v>0.31272085529003862</v>
      </c>
      <c r="AN49" s="16"/>
      <c r="AO49" s="16">
        <v>0.15431893381349493</v>
      </c>
    </row>
    <row r="50" spans="1:41" x14ac:dyDescent="0.75">
      <c r="A50" s="2" t="s">
        <v>96</v>
      </c>
      <c r="B50" s="2" t="s">
        <v>96</v>
      </c>
      <c r="C50" s="2" t="str">
        <f t="shared" si="0"/>
        <v>Night_400m_Oncaeid</v>
      </c>
      <c r="D50" s="4" t="s">
        <v>43</v>
      </c>
      <c r="E50" s="5" t="s">
        <v>31</v>
      </c>
      <c r="G50" s="4" t="s">
        <v>6</v>
      </c>
      <c r="H50" s="4">
        <v>4</v>
      </c>
      <c r="I50" s="4">
        <v>400</v>
      </c>
      <c r="J50" s="4" t="s">
        <v>16</v>
      </c>
      <c r="K50" s="4" t="s">
        <v>24</v>
      </c>
      <c r="L50" s="4" t="s">
        <v>24</v>
      </c>
      <c r="M50" s="4" t="s">
        <v>75</v>
      </c>
      <c r="N50" s="27">
        <v>21.085249999999998</v>
      </c>
      <c r="O50" s="27">
        <v>8</v>
      </c>
      <c r="P50" s="27">
        <v>-18.117750000000001</v>
      </c>
      <c r="Q50" s="27">
        <v>7.0439999999999996</v>
      </c>
      <c r="R50" s="27">
        <v>21.700499999999998</v>
      </c>
      <c r="S50" s="27">
        <v>18.222000000000001</v>
      </c>
      <c r="T50" s="27">
        <v>18.393750000000001</v>
      </c>
      <c r="U50" s="27">
        <v>14.125750000000002</v>
      </c>
      <c r="V50" s="27">
        <v>15.020999999999999</v>
      </c>
      <c r="W50" s="27">
        <v>5.4945000000000004</v>
      </c>
      <c r="X50" s="27">
        <v>18.502500000000001</v>
      </c>
      <c r="Y50" s="27">
        <v>1.8399999999999999</v>
      </c>
      <c r="Z50" s="27">
        <v>7.1790000000000003</v>
      </c>
      <c r="AA50" s="27">
        <v>3.4812500000000002</v>
      </c>
      <c r="AB50" s="16">
        <v>0.79236960020771563</v>
      </c>
      <c r="AC50" s="16">
        <v>0.62409027124821181</v>
      </c>
      <c r="AD50" s="16">
        <v>0.73305451138825006</v>
      </c>
      <c r="AE50" s="16">
        <v>0.52564373232573924</v>
      </c>
      <c r="AF50" s="16">
        <v>0.79290457601571895</v>
      </c>
      <c r="AG50" s="16">
        <v>0.19816996072395449</v>
      </c>
      <c r="AH50" s="16">
        <v>0.58992450081910153</v>
      </c>
      <c r="AI50" s="16">
        <v>0.13556394555092197</v>
      </c>
      <c r="AJ50" s="16">
        <v>0.29834432009564654</v>
      </c>
      <c r="AK50" s="16">
        <v>4.8031239834091362E-2</v>
      </c>
      <c r="AL50" s="16">
        <v>0.26820079542511971</v>
      </c>
      <c r="AM50" s="16">
        <v>0.42314300183271464</v>
      </c>
      <c r="AN50" s="16"/>
      <c r="AO50" s="16">
        <v>0.45555122287912453</v>
      </c>
    </row>
    <row r="51" spans="1:41" x14ac:dyDescent="0.75">
      <c r="A51" s="2" t="s">
        <v>96</v>
      </c>
      <c r="B51" s="2" t="s">
        <v>96</v>
      </c>
      <c r="C51" s="2" t="str">
        <f t="shared" si="0"/>
        <v>Night_1250m_Oncaeid</v>
      </c>
      <c r="D51" s="4" t="s">
        <v>43</v>
      </c>
      <c r="E51" s="5" t="s">
        <v>31</v>
      </c>
      <c r="G51" s="4" t="s">
        <v>6</v>
      </c>
      <c r="H51" s="4">
        <v>1</v>
      </c>
      <c r="I51" s="4">
        <v>1250</v>
      </c>
      <c r="J51" s="4" t="s">
        <v>16</v>
      </c>
      <c r="K51" s="4" t="s">
        <v>24</v>
      </c>
      <c r="L51" s="4" t="s">
        <v>24</v>
      </c>
      <c r="M51" s="4" t="s">
        <v>75</v>
      </c>
      <c r="N51" s="27">
        <v>25.514250000000001</v>
      </c>
      <c r="O51" s="27">
        <v>12.869250000000001</v>
      </c>
      <c r="P51" s="27">
        <v>-20.567500000000003</v>
      </c>
      <c r="Q51" s="27">
        <v>10.745999999999999</v>
      </c>
      <c r="R51" s="27">
        <v>24.079249999999998</v>
      </c>
      <c r="S51" s="27">
        <v>20.921500000000002</v>
      </c>
      <c r="T51" s="27">
        <v>20.816250000000004</v>
      </c>
      <c r="U51" s="27">
        <v>16.152749999999997</v>
      </c>
      <c r="V51" s="27">
        <v>17.422499999999999</v>
      </c>
      <c r="W51" s="27">
        <v>6.0442499999999999</v>
      </c>
      <c r="X51" s="27">
        <v>21.219249999999999</v>
      </c>
      <c r="Y51" s="27">
        <v>2.3487499999999999</v>
      </c>
      <c r="Z51" s="27">
        <v>11.564</v>
      </c>
      <c r="AA51" s="27">
        <v>4.9037500000000005</v>
      </c>
      <c r="AB51" s="16">
        <v>0.68356534679087722</v>
      </c>
      <c r="AC51" s="16">
        <v>0.23941369356548226</v>
      </c>
      <c r="AD51" s="16">
        <v>0.57401887309274713</v>
      </c>
      <c r="AE51" s="16">
        <v>0.62672535186209477</v>
      </c>
      <c r="AF51" s="16">
        <v>0.85756569233305158</v>
      </c>
      <c r="AG51" s="16">
        <v>0.37478660595064001</v>
      </c>
      <c r="AH51" s="16">
        <v>0.42027163834834297</v>
      </c>
      <c r="AI51" s="16">
        <v>0.35888844599215847</v>
      </c>
      <c r="AJ51" s="16">
        <v>0.39965777026517696</v>
      </c>
      <c r="AK51" s="16">
        <v>0.431057904076316</v>
      </c>
      <c r="AL51" s="16">
        <v>0.25218561285952279</v>
      </c>
      <c r="AM51" s="16">
        <v>0.36769949233942045</v>
      </c>
      <c r="AN51" s="16">
        <v>0.34665833323317063</v>
      </c>
      <c r="AO51" s="16">
        <v>0.26961253061878754</v>
      </c>
    </row>
    <row r="52" spans="1:41" x14ac:dyDescent="0.75">
      <c r="A52" s="2" t="s">
        <v>96</v>
      </c>
      <c r="B52" s="2" t="s">
        <v>96</v>
      </c>
      <c r="C52" s="2" t="str">
        <f t="shared" si="0"/>
        <v>Day_25m_Oithonid</v>
      </c>
      <c r="D52" s="4" t="s">
        <v>43</v>
      </c>
      <c r="E52" s="5" t="s">
        <v>31</v>
      </c>
      <c r="G52" s="4" t="s">
        <v>5</v>
      </c>
      <c r="H52" s="4">
        <v>9</v>
      </c>
      <c r="I52" s="4">
        <v>25</v>
      </c>
      <c r="J52" s="4" t="s">
        <v>17</v>
      </c>
      <c r="K52" s="4" t="s">
        <v>25</v>
      </c>
      <c r="L52" s="4" t="s">
        <v>25</v>
      </c>
      <c r="M52" s="4" t="s">
        <v>75</v>
      </c>
      <c r="N52" s="27">
        <v>10.725666666666667</v>
      </c>
      <c r="O52" s="27">
        <v>2.1800000000000002</v>
      </c>
      <c r="P52" s="27">
        <v>-10.639333333333333</v>
      </c>
      <c r="Q52" s="27">
        <v>2.8923333333333332</v>
      </c>
      <c r="R52" s="27">
        <v>10.450333333333333</v>
      </c>
      <c r="S52" s="27">
        <v>6.5246666666666675</v>
      </c>
      <c r="T52" s="27">
        <v>6.6836666666666673</v>
      </c>
      <c r="U52" s="27">
        <v>3.9986666666666664</v>
      </c>
      <c r="V52" s="27">
        <v>6.1943333333333328</v>
      </c>
      <c r="W52" s="27">
        <v>-0.10566666666666669</v>
      </c>
      <c r="X52" s="27">
        <v>8.3753333333333355</v>
      </c>
      <c r="Y52" s="27">
        <v>-3.3353333333333333</v>
      </c>
      <c r="Z52" s="27">
        <v>2.1059999999999999</v>
      </c>
      <c r="AA52" s="27">
        <v>-0.20966666666666667</v>
      </c>
      <c r="AB52" s="16">
        <v>0.17695856388808451</v>
      </c>
      <c r="AC52" s="16">
        <v>0.1321816931348663</v>
      </c>
      <c r="AD52" s="16">
        <v>0.52228376705899415</v>
      </c>
      <c r="AE52" s="16">
        <v>0.36209022816603714</v>
      </c>
      <c r="AF52" s="16">
        <v>0.36950011276498018</v>
      </c>
      <c r="AG52" s="16">
        <v>9.1434858414793457E-2</v>
      </c>
      <c r="AH52" s="16">
        <v>0.36653285437097344</v>
      </c>
      <c r="AI52" s="16">
        <v>3.5921210076128057E-2</v>
      </c>
      <c r="AJ52" s="16">
        <v>0.29957024774388608</v>
      </c>
      <c r="AK52" s="16">
        <v>0.74082746529359533</v>
      </c>
      <c r="AL52" s="16">
        <v>0.44673295528014639</v>
      </c>
      <c r="AM52" s="16">
        <v>0.6082863908828926</v>
      </c>
      <c r="AN52" s="16">
        <v>7.8562077365609384E-2</v>
      </c>
      <c r="AO52" s="16">
        <v>0.19506494644946673</v>
      </c>
    </row>
    <row r="53" spans="1:41" x14ac:dyDescent="0.75">
      <c r="A53" s="2" t="s">
        <v>96</v>
      </c>
      <c r="B53" s="2" t="s">
        <v>96</v>
      </c>
      <c r="C53" s="2" t="str">
        <f t="shared" si="0"/>
        <v>Night_400m_Oithonid</v>
      </c>
      <c r="D53" s="4" t="s">
        <v>43</v>
      </c>
      <c r="E53" s="5" t="s">
        <v>31</v>
      </c>
      <c r="G53" s="4" t="s">
        <v>6</v>
      </c>
      <c r="H53" s="4">
        <v>4</v>
      </c>
      <c r="I53" s="4">
        <v>400</v>
      </c>
      <c r="J53" s="4" t="s">
        <v>17</v>
      </c>
      <c r="K53" s="4" t="s">
        <v>25</v>
      </c>
      <c r="L53" s="4" t="s">
        <v>25</v>
      </c>
      <c r="M53" s="4" t="s">
        <v>75</v>
      </c>
      <c r="N53" s="28">
        <v>26.044499999999999</v>
      </c>
      <c r="O53" s="28">
        <v>13.377666666666668</v>
      </c>
      <c r="P53" s="28">
        <v>-19</v>
      </c>
      <c r="Q53" s="28">
        <v>11.116999999999999</v>
      </c>
      <c r="R53" s="28"/>
      <c r="S53" s="28">
        <v>22.796999999999997</v>
      </c>
      <c r="T53" s="28">
        <v>23.025500000000001</v>
      </c>
      <c r="U53" s="28">
        <v>15.456666666666665</v>
      </c>
      <c r="V53" s="28">
        <v>16.396666666666665</v>
      </c>
      <c r="W53" s="28">
        <v>6.4059999999999997</v>
      </c>
      <c r="X53" s="28">
        <v>19.852999999999998</v>
      </c>
      <c r="Y53" s="28">
        <v>0.46233333333333332</v>
      </c>
      <c r="Z53" s="28">
        <v>11.486333333333334</v>
      </c>
      <c r="AA53" s="28">
        <v>3.6749999999999994</v>
      </c>
      <c r="AB53" s="16">
        <v>0.98075710550574169</v>
      </c>
      <c r="AC53" s="16">
        <v>0.42675793294716102</v>
      </c>
      <c r="AD53" s="16">
        <v>0.66843997486685292</v>
      </c>
      <c r="AE53" s="16">
        <v>0.19955700939831683</v>
      </c>
      <c r="AF53" s="16"/>
      <c r="AG53" s="16">
        <v>6.1098281481560344E-2</v>
      </c>
      <c r="AH53" s="16">
        <v>0.24678026663410521</v>
      </c>
      <c r="AI53" s="16">
        <v>0.42666184893113385</v>
      </c>
      <c r="AJ53" s="16">
        <v>0.38373732335196892</v>
      </c>
      <c r="AK53" s="16">
        <v>0.63422472357989956</v>
      </c>
      <c r="AL53" s="16">
        <v>0.66907622884092999</v>
      </c>
      <c r="AM53" s="16">
        <v>0.22381316613044316</v>
      </c>
      <c r="AN53" s="16">
        <v>0.58209649830018217</v>
      </c>
      <c r="AO53" s="16">
        <v>0.37239226629993261</v>
      </c>
    </row>
    <row r="54" spans="1:41" x14ac:dyDescent="0.75">
      <c r="A54" s="2" t="s">
        <v>96</v>
      </c>
      <c r="B54" s="2" t="s">
        <v>96</v>
      </c>
      <c r="C54" s="2" t="str">
        <f t="shared" si="0"/>
        <v>Day_25m_Harpactacoid</v>
      </c>
      <c r="D54" s="4" t="s">
        <v>43</v>
      </c>
      <c r="E54" s="5" t="s">
        <v>31</v>
      </c>
      <c r="G54" s="4" t="s">
        <v>5</v>
      </c>
      <c r="H54" s="4">
        <v>9</v>
      </c>
      <c r="I54" s="4">
        <v>25</v>
      </c>
      <c r="J54" s="4" t="s">
        <v>18</v>
      </c>
      <c r="K54" s="4" t="s">
        <v>28</v>
      </c>
      <c r="L54" s="4" t="s">
        <v>28</v>
      </c>
      <c r="M54" s="4" t="s">
        <v>75</v>
      </c>
      <c r="N54" s="28">
        <v>13.623749999999999</v>
      </c>
      <c r="O54" s="28">
        <v>3.2742499999999994</v>
      </c>
      <c r="P54" s="28">
        <v>-3.1077499999999993</v>
      </c>
      <c r="Q54" s="28">
        <v>-0.16425000000000001</v>
      </c>
      <c r="R54" s="28">
        <v>9.1392500000000005</v>
      </c>
      <c r="S54" s="28">
        <v>5.7907499999999992</v>
      </c>
      <c r="T54" s="28">
        <v>6.4557500000000001</v>
      </c>
      <c r="U54" s="28">
        <v>2.258</v>
      </c>
      <c r="V54" s="28">
        <v>6.8232500000000007</v>
      </c>
      <c r="W54" s="28">
        <v>-0.46500000000000002</v>
      </c>
      <c r="X54" s="28">
        <v>11.12825</v>
      </c>
      <c r="Y54" s="28">
        <v>-2.1225000000000001</v>
      </c>
      <c r="Z54" s="28"/>
      <c r="AA54" s="28">
        <v>-0.22750000000000004</v>
      </c>
      <c r="AB54" s="16">
        <v>0.78601372973589545</v>
      </c>
      <c r="AC54" s="16">
        <v>0.94291582339040458</v>
      </c>
      <c r="AD54" s="16">
        <v>0.76232205573935097</v>
      </c>
      <c r="AE54" s="16">
        <v>0.31047423403561197</v>
      </c>
      <c r="AF54" s="16">
        <v>0.5455329962522889</v>
      </c>
      <c r="AG54" s="16">
        <v>0.41454583582518334</v>
      </c>
      <c r="AH54" s="16">
        <v>0.96545339089983551</v>
      </c>
      <c r="AI54" s="16">
        <v>0.24265613530261307</v>
      </c>
      <c r="AJ54" s="16">
        <v>0.28016111436100477</v>
      </c>
      <c r="AK54" s="16">
        <v>0.5724153503648669</v>
      </c>
      <c r="AL54" s="16">
        <v>0.50685130955734914</v>
      </c>
      <c r="AM54" s="16">
        <v>0.5924854428591465</v>
      </c>
      <c r="AN54" s="16"/>
      <c r="AO54" s="16">
        <v>0.95777015335970173</v>
      </c>
    </row>
    <row r="55" spans="1:41" x14ac:dyDescent="0.75">
      <c r="A55" s="2" t="s">
        <v>96</v>
      </c>
      <c r="B55" s="2" t="s">
        <v>96</v>
      </c>
      <c r="C55" s="2" t="str">
        <f t="shared" si="0"/>
        <v>Night_400m_Harpactacoid</v>
      </c>
      <c r="D55" s="4" t="s">
        <v>43</v>
      </c>
      <c r="E55" s="5" t="s">
        <v>31</v>
      </c>
      <c r="G55" s="4" t="s">
        <v>6</v>
      </c>
      <c r="H55" s="4">
        <v>4</v>
      </c>
      <c r="I55" s="4">
        <v>400</v>
      </c>
      <c r="J55" s="4" t="s">
        <v>18</v>
      </c>
      <c r="K55" s="4" t="s">
        <v>28</v>
      </c>
      <c r="L55" s="4" t="s">
        <v>28</v>
      </c>
      <c r="M55" s="4" t="s">
        <v>75</v>
      </c>
      <c r="N55" s="28">
        <v>14.647</v>
      </c>
      <c r="O55" s="28">
        <v>4.6456666666666671</v>
      </c>
      <c r="P55" s="28">
        <v>-14.550333333333333</v>
      </c>
      <c r="Q55" s="28">
        <v>1.736</v>
      </c>
      <c r="R55" s="28">
        <v>15.687000000000003</v>
      </c>
      <c r="S55" s="28">
        <v>11.201333333333332</v>
      </c>
      <c r="T55" s="28">
        <v>12.926666666666668</v>
      </c>
      <c r="U55" s="28">
        <v>8.227666666666666</v>
      </c>
      <c r="V55" s="28">
        <v>8.3486666666666665</v>
      </c>
      <c r="W55" s="28">
        <v>0.66900000000000004</v>
      </c>
      <c r="X55" s="28">
        <v>11.750666666666667</v>
      </c>
      <c r="Y55" s="28">
        <v>-3.3706666666666667</v>
      </c>
      <c r="Z55" s="28"/>
      <c r="AA55" s="28">
        <v>-1.0673333333333332</v>
      </c>
      <c r="AB55" s="16">
        <v>0.58274436934216689</v>
      </c>
      <c r="AC55" s="16">
        <v>0.15276234265463884</v>
      </c>
      <c r="AD55" s="16">
        <v>0.50142829331154914</v>
      </c>
      <c r="AE55" s="16">
        <v>0.51229776497658008</v>
      </c>
      <c r="AF55" s="16">
        <v>0.31857652141989456</v>
      </c>
      <c r="AG55" s="16">
        <v>0.20662123156474876</v>
      </c>
      <c r="AH55" s="16">
        <v>0.14110043704161032</v>
      </c>
      <c r="AI55" s="16">
        <v>6.3500656164589164E-2</v>
      </c>
      <c r="AJ55" s="16">
        <v>0.16517061885617917</v>
      </c>
      <c r="AK55" s="16">
        <v>0.21648787494915273</v>
      </c>
      <c r="AL55" s="16">
        <v>0.31413585171599417</v>
      </c>
      <c r="AM55" s="16">
        <v>0.32957902441346787</v>
      </c>
      <c r="AN55" s="16"/>
      <c r="AO55" s="16">
        <v>0.14065679270242659</v>
      </c>
    </row>
    <row r="56" spans="1:41" x14ac:dyDescent="0.75">
      <c r="A56" s="2" t="s">
        <v>96</v>
      </c>
      <c r="B56" s="2" t="s">
        <v>96</v>
      </c>
      <c r="C56" s="2" t="str">
        <f t="shared" si="0"/>
        <v>Night_25m_Pleuromamma</v>
      </c>
      <c r="D56" s="4" t="s">
        <v>43</v>
      </c>
      <c r="E56" s="5" t="s">
        <v>31</v>
      </c>
      <c r="G56" s="4" t="s">
        <v>6</v>
      </c>
      <c r="H56" s="4">
        <v>9</v>
      </c>
      <c r="I56" s="4">
        <v>25</v>
      </c>
      <c r="J56" s="4" t="s">
        <v>19</v>
      </c>
      <c r="K56" s="4" t="s">
        <v>44</v>
      </c>
      <c r="L56" s="4" t="s">
        <v>44</v>
      </c>
      <c r="M56" s="4" t="s">
        <v>75</v>
      </c>
      <c r="N56" s="28">
        <v>15.287750000000001</v>
      </c>
      <c r="O56" s="28">
        <v>1.1332499999999999</v>
      </c>
      <c r="P56" s="28">
        <v>-11.702</v>
      </c>
      <c r="Q56" s="28">
        <v>2.4940000000000002</v>
      </c>
      <c r="R56" s="28">
        <v>10.94725</v>
      </c>
      <c r="S56" s="28">
        <v>8.54575</v>
      </c>
      <c r="T56" s="28">
        <v>-9.9000000000000005E-2</v>
      </c>
      <c r="U56" s="28">
        <v>6.2007500000000002</v>
      </c>
      <c r="V56" s="28">
        <v>9.5357500000000002</v>
      </c>
      <c r="W56" s="28">
        <v>3.903</v>
      </c>
      <c r="X56" s="28">
        <v>12.7415</v>
      </c>
      <c r="Y56" s="28">
        <v>-3.0665000000000004</v>
      </c>
      <c r="Z56" s="28"/>
      <c r="AA56" s="28">
        <v>1.2737499999999999</v>
      </c>
      <c r="AB56" s="16">
        <v>0.60469406865510678</v>
      </c>
      <c r="AC56" s="16">
        <v>0.27826411314912186</v>
      </c>
      <c r="AD56" s="16">
        <v>0.43312430856125661</v>
      </c>
      <c r="AE56" s="16">
        <v>0.59057147464694215</v>
      </c>
      <c r="AF56" s="16">
        <v>0.78236708136270705</v>
      </c>
      <c r="AG56" s="16">
        <v>0.26764201837529156</v>
      </c>
      <c r="AH56" s="16">
        <v>0.6757371283766096</v>
      </c>
      <c r="AI56" s="16">
        <v>0.50738504445177857</v>
      </c>
      <c r="AJ56" s="16">
        <v>0.34053426161450057</v>
      </c>
      <c r="AK56" s="16">
        <v>0.61108591867265449</v>
      </c>
      <c r="AL56" s="16">
        <v>0.18597042775667358</v>
      </c>
      <c r="AM56" s="16">
        <v>0.43237676471644898</v>
      </c>
      <c r="AN56" s="16"/>
      <c r="AO56" s="16">
        <v>0.48035221452596627</v>
      </c>
    </row>
    <row r="57" spans="1:41" x14ac:dyDescent="0.75">
      <c r="A57" s="2" t="s">
        <v>96</v>
      </c>
      <c r="B57" s="2" t="s">
        <v>96</v>
      </c>
      <c r="C57" s="2" t="str">
        <f t="shared" si="0"/>
        <v>Night_25m_Ostracod</v>
      </c>
      <c r="D57" s="4" t="s">
        <v>43</v>
      </c>
      <c r="E57" s="5" t="s">
        <v>31</v>
      </c>
      <c r="G57" s="4" t="s">
        <v>6</v>
      </c>
      <c r="H57" s="4">
        <v>9</v>
      </c>
      <c r="I57" s="4">
        <v>25</v>
      </c>
      <c r="J57" s="4" t="s">
        <v>20</v>
      </c>
      <c r="K57" s="4" t="s">
        <v>26</v>
      </c>
      <c r="L57" s="4" t="s">
        <v>26</v>
      </c>
      <c r="M57" s="4" t="s">
        <v>75</v>
      </c>
      <c r="N57" s="28">
        <v>11.615666666666668</v>
      </c>
      <c r="O57" s="28">
        <v>2.6259999999999999</v>
      </c>
      <c r="P57" s="28">
        <v>-15.540000000000001</v>
      </c>
      <c r="Q57" s="28">
        <v>2.6763333333333335</v>
      </c>
      <c r="R57" s="28">
        <v>12.488333333333335</v>
      </c>
      <c r="S57" s="28">
        <v>8.7643333333333349</v>
      </c>
      <c r="T57" s="28">
        <v>9.7550000000000008</v>
      </c>
      <c r="U57" s="28">
        <v>9.4480000000000004</v>
      </c>
      <c r="V57" s="28">
        <v>7.5933333333333337</v>
      </c>
      <c r="W57" s="28">
        <v>0.69233333333333336</v>
      </c>
      <c r="X57" s="28">
        <v>10.341333333333333</v>
      </c>
      <c r="Y57" s="28">
        <v>-4.1743333333333332</v>
      </c>
      <c r="Z57" s="28"/>
      <c r="AA57" s="28">
        <v>-0.85333333333333339</v>
      </c>
      <c r="AB57" s="16">
        <v>0.42578202561091472</v>
      </c>
      <c r="AC57" s="16">
        <v>0.15734357311310818</v>
      </c>
      <c r="AD57" s="16">
        <v>0.60674459206489717</v>
      </c>
      <c r="AE57" s="16">
        <v>0.38752333263086763</v>
      </c>
      <c r="AF57" s="16">
        <v>0.51448453167547481</v>
      </c>
      <c r="AG57" s="16">
        <v>0.1704122452564176</v>
      </c>
      <c r="AH57" s="16">
        <v>8.2999999999999297E-2</v>
      </c>
      <c r="AI57" s="16">
        <v>0.2211899636059465</v>
      </c>
      <c r="AJ57" s="16">
        <v>0.35239513806710399</v>
      </c>
      <c r="AK57" s="16">
        <v>0.64230392598312325</v>
      </c>
      <c r="AL57" s="16">
        <v>0.59511455479876518</v>
      </c>
      <c r="AM57" s="16">
        <v>0.48121755301872904</v>
      </c>
      <c r="AN57" s="16"/>
      <c r="AO57" s="16">
        <v>0.69692347738710414</v>
      </c>
    </row>
    <row r="58" spans="1:41" x14ac:dyDescent="0.75">
      <c r="A58" s="2" t="s">
        <v>96</v>
      </c>
      <c r="B58" s="2" t="s">
        <v>96</v>
      </c>
      <c r="C58" s="2" t="str">
        <f t="shared" si="0"/>
        <v>Night_400m_Ostracod</v>
      </c>
      <c r="D58" s="4" t="s">
        <v>43</v>
      </c>
      <c r="E58" s="5" t="s">
        <v>31</v>
      </c>
      <c r="G58" s="4" t="s">
        <v>6</v>
      </c>
      <c r="H58" s="4">
        <v>4</v>
      </c>
      <c r="I58" s="4">
        <v>400</v>
      </c>
      <c r="J58" s="4" t="s">
        <v>20</v>
      </c>
      <c r="K58" s="4" t="s">
        <v>26</v>
      </c>
      <c r="L58" s="4" t="s">
        <v>26</v>
      </c>
      <c r="M58" s="4" t="s">
        <v>75</v>
      </c>
      <c r="N58" s="28">
        <v>16.294333333333331</v>
      </c>
      <c r="O58" s="28">
        <v>2.7166666666666668</v>
      </c>
      <c r="P58" s="28">
        <v>-17.089333333333332</v>
      </c>
      <c r="Q58" s="28">
        <v>8.3876666666666662</v>
      </c>
      <c r="R58" s="28">
        <v>18.088333333333335</v>
      </c>
      <c r="S58" s="28">
        <v>14.064333333333332</v>
      </c>
      <c r="T58" s="28">
        <v>15.388666666666666</v>
      </c>
      <c r="U58" s="28">
        <v>14.572666666666668</v>
      </c>
      <c r="V58" s="28">
        <v>12.251666666666665</v>
      </c>
      <c r="W58" s="28">
        <v>4.21</v>
      </c>
      <c r="X58" s="28">
        <v>16.167333333333335</v>
      </c>
      <c r="Y58" s="28">
        <v>-0.34266666666666667</v>
      </c>
      <c r="Z58" s="28"/>
      <c r="AA58" s="28">
        <v>2.1383333333333332</v>
      </c>
      <c r="AB58" s="16">
        <v>0.23265066802683654</v>
      </c>
      <c r="AC58" s="16">
        <v>0.45795232648533957</v>
      </c>
      <c r="AD58" s="16">
        <v>0.46457005212705332</v>
      </c>
      <c r="AE58" s="16">
        <v>0.49399628878498009</v>
      </c>
      <c r="AF58" s="16">
        <v>0.50650205659339054</v>
      </c>
      <c r="AG58" s="16">
        <v>0.15702653703541114</v>
      </c>
      <c r="AH58" s="16">
        <v>0.49648497795334551</v>
      </c>
      <c r="AI58" s="16">
        <v>3.6774085078126725E-2</v>
      </c>
      <c r="AJ58" s="16">
        <v>0.1395504687678738</v>
      </c>
      <c r="AK58" s="16">
        <v>0.29663614075159511</v>
      </c>
      <c r="AL58" s="16">
        <v>0.23056524745358609</v>
      </c>
      <c r="AM58" s="16">
        <v>0.37215901619245145</v>
      </c>
      <c r="AN58" s="16"/>
      <c r="AO58" s="16">
        <v>0.31826770702246288</v>
      </c>
    </row>
    <row r="59" spans="1:41" x14ac:dyDescent="0.75">
      <c r="A59" s="2" t="s">
        <v>96</v>
      </c>
      <c r="B59" s="2" t="s">
        <v>96</v>
      </c>
      <c r="C59" s="2" t="str">
        <f t="shared" si="0"/>
        <v>Night_1250m_Ostracod</v>
      </c>
      <c r="D59" s="4" t="s">
        <v>43</v>
      </c>
      <c r="E59" s="5" t="s">
        <v>31</v>
      </c>
      <c r="G59" s="4" t="s">
        <v>6</v>
      </c>
      <c r="H59" s="4">
        <v>1</v>
      </c>
      <c r="I59" s="4">
        <v>1250</v>
      </c>
      <c r="J59" s="4" t="s">
        <v>20</v>
      </c>
      <c r="K59" s="4" t="s">
        <v>26</v>
      </c>
      <c r="L59" s="4" t="s">
        <v>26</v>
      </c>
      <c r="M59" s="4" t="s">
        <v>75</v>
      </c>
      <c r="N59" s="28">
        <v>20.921000000000003</v>
      </c>
      <c r="O59" s="28">
        <v>6.2269999999999994</v>
      </c>
      <c r="P59" s="28">
        <v>-18.797333333333331</v>
      </c>
      <c r="Q59" s="28">
        <v>6.8029999999999999</v>
      </c>
      <c r="R59" s="28">
        <v>19.790000000000003</v>
      </c>
      <c r="S59" s="28">
        <v>15.091333333333333</v>
      </c>
      <c r="T59" s="28">
        <v>15.186999999999998</v>
      </c>
      <c r="U59" s="28">
        <v>15.287666666666667</v>
      </c>
      <c r="V59" s="28">
        <v>12.706666666666669</v>
      </c>
      <c r="W59" s="28">
        <v>3.3740000000000001</v>
      </c>
      <c r="X59" s="28">
        <v>16.052000000000003</v>
      </c>
      <c r="Y59" s="28">
        <v>0.51600000000000001</v>
      </c>
      <c r="Z59" s="28"/>
      <c r="AA59" s="28">
        <v>1.4646666666666668</v>
      </c>
      <c r="AB59" s="16">
        <v>0.14017132374348246</v>
      </c>
      <c r="AC59" s="16">
        <v>4.6808118953873643E-2</v>
      </c>
      <c r="AD59" s="16">
        <v>0.52148378050839939</v>
      </c>
      <c r="AE59" s="16">
        <v>0.2474914139924857</v>
      </c>
      <c r="AF59" s="16">
        <v>0.47002446744823934</v>
      </c>
      <c r="AG59" s="16">
        <v>0.13200126262022452</v>
      </c>
      <c r="AH59" s="16">
        <v>0.23902301144450488</v>
      </c>
      <c r="AI59" s="16">
        <v>0.14050741380202486</v>
      </c>
      <c r="AJ59" s="16">
        <v>2.2810816147900793E-2</v>
      </c>
      <c r="AK59" s="16">
        <v>0.26682765973564276</v>
      </c>
      <c r="AL59" s="16">
        <v>0.20969501663129744</v>
      </c>
      <c r="AM59" s="16">
        <v>0.36369080274320931</v>
      </c>
      <c r="AN59" s="16"/>
      <c r="AO59" s="16">
        <v>0.42638284831045165</v>
      </c>
    </row>
    <row r="60" spans="1:41" x14ac:dyDescent="0.75">
      <c r="A60" s="2" t="s">
        <v>96</v>
      </c>
      <c r="B60" s="2" t="s">
        <v>96</v>
      </c>
      <c r="C60" s="2" t="str">
        <f t="shared" si="0"/>
        <v>Day_25m_Chaetognath</v>
      </c>
      <c r="D60" s="4" t="s">
        <v>43</v>
      </c>
      <c r="E60" s="5" t="s">
        <v>31</v>
      </c>
      <c r="G60" s="4" t="s">
        <v>5</v>
      </c>
      <c r="H60" s="4">
        <v>9</v>
      </c>
      <c r="I60" s="4">
        <v>25</v>
      </c>
      <c r="J60" s="4" t="s">
        <v>21</v>
      </c>
      <c r="K60" s="4" t="s">
        <v>27</v>
      </c>
      <c r="L60" s="4" t="s">
        <v>27</v>
      </c>
      <c r="M60" s="4" t="s">
        <v>75</v>
      </c>
      <c r="N60" s="27">
        <v>16.665333333333333</v>
      </c>
      <c r="O60" s="27">
        <v>0.34966666666666663</v>
      </c>
      <c r="P60" s="27">
        <v>-19.104333333333333</v>
      </c>
      <c r="Q60" s="27">
        <v>0.96233333333333348</v>
      </c>
      <c r="R60" s="27">
        <v>14.471666666666666</v>
      </c>
      <c r="S60" s="27">
        <v>11.537333333333331</v>
      </c>
      <c r="T60" s="27">
        <v>12.808999999999999</v>
      </c>
      <c r="U60" s="27">
        <v>5.6116666666666672</v>
      </c>
      <c r="V60" s="27">
        <v>9.4646666666666661</v>
      </c>
      <c r="W60" s="27">
        <v>-1.3666666666666679E-2</v>
      </c>
      <c r="X60" s="27">
        <v>11.536666666666667</v>
      </c>
      <c r="Y60" s="27">
        <v>-2.8163333333333331</v>
      </c>
      <c r="Z60" s="27"/>
      <c r="AA60" s="27">
        <v>-1.2596666666666667</v>
      </c>
      <c r="AB60" s="16">
        <v>0.65179163337168899</v>
      </c>
      <c r="AC60" s="16">
        <v>0.17996203303289648</v>
      </c>
      <c r="AD60" s="16">
        <v>0.21873347556634604</v>
      </c>
      <c r="AE60" s="16">
        <v>0.51350300226321255</v>
      </c>
      <c r="AF60" s="16">
        <v>0.35611983001980313</v>
      </c>
      <c r="AG60" s="16">
        <v>0.16146310208011397</v>
      </c>
      <c r="AH60" s="16">
        <v>0.51931011929289428</v>
      </c>
      <c r="AI60" s="16">
        <v>0.49850810759037179</v>
      </c>
      <c r="AJ60" s="16">
        <v>0.26159765544311209</v>
      </c>
      <c r="AK60" s="16">
        <v>0.68971032566819912</v>
      </c>
      <c r="AL60" s="16">
        <v>3.0989245446337587E-2</v>
      </c>
      <c r="AM60" s="16">
        <v>0.17747206352925884</v>
      </c>
      <c r="AN60" s="16"/>
      <c r="AO60" s="16">
        <v>0.58922859174800168</v>
      </c>
    </row>
    <row r="61" spans="1:41" x14ac:dyDescent="0.75">
      <c r="A61" s="2" t="s">
        <v>96</v>
      </c>
      <c r="B61" s="2" t="s">
        <v>96</v>
      </c>
      <c r="C61" s="2" t="str">
        <f t="shared" si="0"/>
        <v>Night_400m_Chaetognath</v>
      </c>
      <c r="D61" s="4" t="s">
        <v>43</v>
      </c>
      <c r="E61" s="5" t="s">
        <v>31</v>
      </c>
      <c r="G61" s="4" t="s">
        <v>6</v>
      </c>
      <c r="H61" s="4">
        <v>4</v>
      </c>
      <c r="I61" s="4">
        <v>400</v>
      </c>
      <c r="J61" s="4" t="s">
        <v>21</v>
      </c>
      <c r="K61" s="4" t="s">
        <v>27</v>
      </c>
      <c r="L61" s="4" t="s">
        <v>27</v>
      </c>
      <c r="M61" s="4" t="s">
        <v>75</v>
      </c>
      <c r="N61" s="27">
        <v>19.497666666666667</v>
      </c>
      <c r="O61" s="27">
        <v>3.3656666666666664</v>
      </c>
      <c r="P61" s="27">
        <v>-21.300666666666668</v>
      </c>
      <c r="Q61" s="27">
        <v>6.3016666666666667</v>
      </c>
      <c r="R61" s="27">
        <v>19.546000000000003</v>
      </c>
      <c r="S61" s="27">
        <v>15.963999999999999</v>
      </c>
      <c r="T61" s="27">
        <v>16.802000000000003</v>
      </c>
      <c r="U61" s="27">
        <v>10.092333333333334</v>
      </c>
      <c r="V61" s="27">
        <v>13.205666666666668</v>
      </c>
      <c r="W61" s="27">
        <v>4.426333333333333</v>
      </c>
      <c r="X61" s="27">
        <v>16.622333333333334</v>
      </c>
      <c r="Y61" s="27">
        <v>-2.2756666666666665</v>
      </c>
      <c r="Z61" s="27"/>
      <c r="AA61" s="27">
        <v>1.6356666666666666</v>
      </c>
      <c r="AB61" s="16">
        <v>0.33121191604973016</v>
      </c>
      <c r="AC61" s="16">
        <v>0.25846147359584026</v>
      </c>
      <c r="AD61" s="16">
        <v>0.74928921874889809</v>
      </c>
      <c r="AE61" s="16">
        <v>0.31581693009294703</v>
      </c>
      <c r="AF61" s="16">
        <v>0.6151414471485408</v>
      </c>
      <c r="AG61" s="16">
        <v>0.12209832103677705</v>
      </c>
      <c r="AH61" s="16">
        <v>0.22603760749043472</v>
      </c>
      <c r="AI61" s="16">
        <v>6.7248296137027555E-2</v>
      </c>
      <c r="AJ61" s="16">
        <v>0.11243368415796659</v>
      </c>
      <c r="AK61" s="16">
        <v>0.58881604371258311</v>
      </c>
      <c r="AL61" s="16">
        <v>0.20338715134770155</v>
      </c>
      <c r="AM61" s="16">
        <v>0.380673525916019</v>
      </c>
      <c r="AN61" s="16"/>
      <c r="AO61" s="16">
        <v>0.45913433037982881</v>
      </c>
    </row>
    <row r="62" spans="1:41" ht="17" customHeight="1" x14ac:dyDescent="0.75">
      <c r="A62" s="2" t="s">
        <v>96</v>
      </c>
      <c r="B62" s="2" t="s">
        <v>96</v>
      </c>
      <c r="C62" s="2" t="str">
        <f t="shared" si="0"/>
        <v>Night_1250m_Chaetognath</v>
      </c>
      <c r="D62" s="4" t="s">
        <v>43</v>
      </c>
      <c r="E62" s="5" t="s">
        <v>31</v>
      </c>
      <c r="G62" s="4" t="s">
        <v>6</v>
      </c>
      <c r="H62" s="4">
        <v>1</v>
      </c>
      <c r="I62" s="4">
        <v>1250</v>
      </c>
      <c r="J62" s="4" t="s">
        <v>21</v>
      </c>
      <c r="K62" s="4" t="s">
        <v>27</v>
      </c>
      <c r="L62" s="4" t="s">
        <v>27</v>
      </c>
      <c r="M62" s="4" t="s">
        <v>75</v>
      </c>
      <c r="N62" s="27">
        <v>27.137600000000003</v>
      </c>
      <c r="O62" s="27">
        <v>12.744</v>
      </c>
      <c r="P62" s="27">
        <v>-24.4878</v>
      </c>
      <c r="Q62" s="27">
        <v>15.544</v>
      </c>
      <c r="R62" s="27">
        <v>26.156600000000005</v>
      </c>
      <c r="S62" s="27">
        <v>23.08</v>
      </c>
      <c r="T62" s="27">
        <v>23.595799999999997</v>
      </c>
      <c r="U62" s="27">
        <v>15.1838</v>
      </c>
      <c r="V62" s="27">
        <v>19.219799999999999</v>
      </c>
      <c r="W62" s="27">
        <v>8.1129999999999995</v>
      </c>
      <c r="X62" s="27">
        <v>22.703800000000001</v>
      </c>
      <c r="Y62" s="27">
        <v>5.2430000000000003</v>
      </c>
      <c r="Z62" s="27"/>
      <c r="AA62" s="27">
        <v>4.7095999999999991</v>
      </c>
      <c r="AB62" s="16">
        <v>0.20339690263128363</v>
      </c>
      <c r="AC62" s="16">
        <v>0.29256366828435831</v>
      </c>
      <c r="AD62" s="16">
        <v>0.60121019618765636</v>
      </c>
      <c r="AE62" s="16">
        <v>0.6078128823906247</v>
      </c>
      <c r="AF62" s="16">
        <v>0.67335228521183454</v>
      </c>
      <c r="AG62" s="16">
        <v>0.25574987781033343</v>
      </c>
      <c r="AH62" s="16">
        <v>0.29207824294185303</v>
      </c>
      <c r="AI62" s="16">
        <v>0.21715017844800386</v>
      </c>
      <c r="AJ62" s="16">
        <v>0.41391387993156259</v>
      </c>
      <c r="AK62" s="16">
        <v>0.74617323725794404</v>
      </c>
      <c r="AL62" s="16">
        <v>0.34263931473197889</v>
      </c>
      <c r="AM62" s="16">
        <v>0.64097893881155432</v>
      </c>
      <c r="AN62" s="16"/>
      <c r="AO62" s="16">
        <v>0.41884042307303604</v>
      </c>
    </row>
    <row r="63" spans="1:41" x14ac:dyDescent="0.75">
      <c r="A63" s="2" t="s">
        <v>96</v>
      </c>
      <c r="B63" s="2" t="s">
        <v>96</v>
      </c>
      <c r="C63" s="2" t="str">
        <f t="shared" si="0"/>
        <v>Night_300m_Gaussia</v>
      </c>
      <c r="D63" s="4" t="s">
        <v>43</v>
      </c>
      <c r="E63" s="5" t="s">
        <v>31</v>
      </c>
      <c r="G63" s="4" t="s">
        <v>6</v>
      </c>
      <c r="H63" s="4">
        <v>4</v>
      </c>
      <c r="I63" s="4">
        <v>300</v>
      </c>
      <c r="J63" s="4" t="s">
        <v>29</v>
      </c>
      <c r="K63" s="4" t="s">
        <v>33</v>
      </c>
      <c r="L63" s="4" t="s">
        <v>33</v>
      </c>
      <c r="M63" s="4" t="s">
        <v>75</v>
      </c>
      <c r="N63" s="27">
        <v>23.586500000000001</v>
      </c>
      <c r="O63" s="27">
        <v>7.2778333333333336</v>
      </c>
      <c r="P63" s="27">
        <v>-19.913166666666669</v>
      </c>
      <c r="Q63" s="27">
        <v>7.9136666666666668</v>
      </c>
      <c r="R63" s="27">
        <v>24.189999999999998</v>
      </c>
      <c r="S63" s="27">
        <v>19.517166666666668</v>
      </c>
      <c r="T63" s="27">
        <v>20.123583333333329</v>
      </c>
      <c r="U63" s="27">
        <v>16.337499999999999</v>
      </c>
      <c r="V63" s="27">
        <v>16.066833333333335</v>
      </c>
      <c r="W63" s="27">
        <v>6.8016666666666676</v>
      </c>
      <c r="X63" s="27">
        <v>21.004666666666665</v>
      </c>
      <c r="Y63" s="27">
        <v>1.6459999999999999</v>
      </c>
      <c r="Z63" s="27"/>
      <c r="AA63" s="27">
        <v>3.6825000000000006</v>
      </c>
      <c r="AB63" s="16">
        <v>0.66139171449300715</v>
      </c>
      <c r="AC63" s="16">
        <v>0.63836927662077669</v>
      </c>
      <c r="AD63" s="16">
        <v>0.61780363654913295</v>
      </c>
      <c r="AE63" s="16">
        <v>0.84876243240771809</v>
      </c>
      <c r="AF63" s="16">
        <v>0.62732580583510744</v>
      </c>
      <c r="AG63" s="16">
        <v>0.6890045960175688</v>
      </c>
      <c r="AH63" s="16">
        <v>0.68532753726472428</v>
      </c>
      <c r="AI63" s="16">
        <v>0.69469321766278103</v>
      </c>
      <c r="AJ63" s="16">
        <v>0.22398139803712955</v>
      </c>
      <c r="AK63" s="16">
        <v>0.64990332614422963</v>
      </c>
      <c r="AL63" s="16">
        <v>0.38711281731987801</v>
      </c>
      <c r="AM63" s="16">
        <v>0.50251036473556121</v>
      </c>
      <c r="AN63" s="16">
        <v>0</v>
      </c>
      <c r="AO63" s="16">
        <v>0.40659521230170287</v>
      </c>
    </row>
    <row r="64" spans="1:41" x14ac:dyDescent="0.75">
      <c r="A64" s="2" t="s">
        <v>96</v>
      </c>
      <c r="B64" s="2" t="s">
        <v>96</v>
      </c>
      <c r="C64" s="2" t="str">
        <f t="shared" si="0"/>
        <v>Night_300m_Gaussia</v>
      </c>
      <c r="D64" s="4" t="s">
        <v>43</v>
      </c>
      <c r="E64" s="5" t="s">
        <v>31</v>
      </c>
      <c r="G64" s="4" t="s">
        <v>6</v>
      </c>
      <c r="H64" s="4">
        <v>4</v>
      </c>
      <c r="I64" s="4">
        <v>300</v>
      </c>
      <c r="J64" s="4" t="s">
        <v>30</v>
      </c>
      <c r="K64" s="4" t="s">
        <v>33</v>
      </c>
      <c r="L64" s="4" t="s">
        <v>33</v>
      </c>
      <c r="M64" s="4" t="s">
        <v>75</v>
      </c>
      <c r="N64" s="27">
        <v>24.207916666666666</v>
      </c>
      <c r="O64" s="27">
        <v>8.9358333333333331</v>
      </c>
      <c r="P64" s="27">
        <v>-19.501833333333334</v>
      </c>
      <c r="Q64" s="27">
        <v>8.9479583333333323</v>
      </c>
      <c r="R64" s="27">
        <v>24.433958333333333</v>
      </c>
      <c r="S64" s="27">
        <v>20.339750000000002</v>
      </c>
      <c r="T64" s="27">
        <v>20.761041666666667</v>
      </c>
      <c r="U64" s="27">
        <v>17.313916666666668</v>
      </c>
      <c r="V64" s="27">
        <v>16.999958333333332</v>
      </c>
      <c r="W64" s="27">
        <v>7.4128750000000005</v>
      </c>
      <c r="X64" s="27">
        <v>21.898916666666665</v>
      </c>
      <c r="Y64" s="27">
        <v>1.8976250000000001</v>
      </c>
      <c r="Z64" s="27">
        <v>8.6059166666666673</v>
      </c>
      <c r="AA64" s="27">
        <v>3.7031666666666667</v>
      </c>
      <c r="AB64" s="16">
        <v>0.27155723767436762</v>
      </c>
      <c r="AC64" s="16">
        <v>0.21857721747702805</v>
      </c>
      <c r="AD64" s="16">
        <v>0.63375468440083271</v>
      </c>
      <c r="AE64" s="16">
        <v>0.69763308168883953</v>
      </c>
      <c r="AF64" s="16">
        <v>0.6332950207709942</v>
      </c>
      <c r="AG64" s="16">
        <v>0.27230436402427693</v>
      </c>
      <c r="AH64" s="16">
        <v>0.79873728471882344</v>
      </c>
      <c r="AI64" s="16">
        <v>0.33965325456019613</v>
      </c>
      <c r="AJ64" s="16">
        <v>0.27113757270679761</v>
      </c>
      <c r="AK64" s="16">
        <v>0.70598176322055273</v>
      </c>
      <c r="AL64" s="16">
        <v>0.16564017226103883</v>
      </c>
      <c r="AM64" s="16">
        <v>0.81776641938066041</v>
      </c>
      <c r="AN64" s="16">
        <v>0.49033186041020577</v>
      </c>
      <c r="AO64" s="16">
        <v>0.45377160187330312</v>
      </c>
    </row>
    <row r="65" spans="1:41" x14ac:dyDescent="0.75">
      <c r="A65" s="2" t="s">
        <v>95</v>
      </c>
      <c r="B65" s="2" t="s">
        <v>45</v>
      </c>
      <c r="C65" s="2" t="str">
        <f t="shared" si="0"/>
        <v>Pump Cast_25m_0.2-0.7 μm</v>
      </c>
      <c r="D65" s="4" t="s">
        <v>76</v>
      </c>
      <c r="E65" s="5" t="s">
        <v>77</v>
      </c>
      <c r="G65" s="4" t="s">
        <v>32</v>
      </c>
      <c r="I65" s="8">
        <v>25</v>
      </c>
      <c r="J65" s="4" t="s">
        <v>34</v>
      </c>
      <c r="K65" s="9" t="s">
        <v>35</v>
      </c>
      <c r="L65" s="4" t="s">
        <v>13</v>
      </c>
      <c r="M65" s="4" t="s">
        <v>45</v>
      </c>
      <c r="N65" s="29">
        <v>2.5062000000000002</v>
      </c>
      <c r="O65" s="30">
        <v>-3.9391999999999996</v>
      </c>
      <c r="P65" s="30">
        <v>-2.0720000000000001</v>
      </c>
      <c r="Q65" s="30">
        <v>-3.7296</v>
      </c>
      <c r="R65" s="30">
        <v>0.77279999999999993</v>
      </c>
      <c r="S65" s="30">
        <v>-2.4790000000000001</v>
      </c>
      <c r="T65" s="30">
        <v>-2.1383999999999999</v>
      </c>
      <c r="U65" s="30">
        <v>1.2578</v>
      </c>
      <c r="V65" s="30">
        <v>0.34239999999999998</v>
      </c>
      <c r="W65" s="30">
        <v>-0.24559999999999998</v>
      </c>
      <c r="X65" s="30"/>
      <c r="Y65" s="30">
        <v>-1.671</v>
      </c>
      <c r="Z65" s="30">
        <v>-0.62480000000000002</v>
      </c>
      <c r="AA65" s="30">
        <v>-1.3994</v>
      </c>
      <c r="AB65" s="19">
        <v>0.29563693950519548</v>
      </c>
      <c r="AC65" s="20">
        <v>0.83280081652217464</v>
      </c>
      <c r="AD65" s="20">
        <v>0.33099471294871191</v>
      </c>
      <c r="AE65" s="20">
        <v>0.68427720990837948</v>
      </c>
      <c r="AF65" s="20">
        <v>0.96615381798138111</v>
      </c>
      <c r="AG65" s="20">
        <v>0.59324320476512837</v>
      </c>
      <c r="AH65" s="20">
        <v>0.4903613973387389</v>
      </c>
      <c r="AI65" s="18">
        <v>0.9152790284934974</v>
      </c>
      <c r="AJ65" s="18">
        <v>0.72474636942864368</v>
      </c>
      <c r="AK65" s="18">
        <v>0.32993226577587104</v>
      </c>
      <c r="AL65" s="18"/>
      <c r="AM65" s="18">
        <v>0.29538110975483794</v>
      </c>
      <c r="AN65" s="18">
        <v>0.91098282091376459</v>
      </c>
      <c r="AO65" s="18">
        <v>0.59635668856817581</v>
      </c>
    </row>
    <row r="66" spans="1:41" x14ac:dyDescent="0.75">
      <c r="A66" s="2" t="s">
        <v>95</v>
      </c>
      <c r="B66" s="2" t="s">
        <v>13</v>
      </c>
      <c r="C66" s="2" t="str">
        <f t="shared" si="0"/>
        <v>Pump Cast_150m_0.2-0.7 μm</v>
      </c>
      <c r="D66" s="4" t="s">
        <v>76</v>
      </c>
      <c r="E66" s="5" t="s">
        <v>77</v>
      </c>
      <c r="G66" s="4" t="s">
        <v>32</v>
      </c>
      <c r="I66" s="8">
        <v>150</v>
      </c>
      <c r="J66" s="4" t="s">
        <v>34</v>
      </c>
      <c r="K66" s="9" t="s">
        <v>35</v>
      </c>
      <c r="L66" s="4" t="s">
        <v>13</v>
      </c>
      <c r="M66" s="4" t="s">
        <v>13</v>
      </c>
      <c r="N66" s="29">
        <v>11.766333333333334</v>
      </c>
      <c r="O66" s="30">
        <v>-0.68800000000000006</v>
      </c>
      <c r="P66" s="30">
        <v>3.0286666666666666</v>
      </c>
      <c r="Q66" s="30">
        <v>0.97900000000000009</v>
      </c>
      <c r="R66" s="30">
        <v>7.6573333333333338</v>
      </c>
      <c r="S66" s="30">
        <v>3.3796666666666666</v>
      </c>
      <c r="T66" s="30">
        <v>4.5493333333333332</v>
      </c>
      <c r="U66" s="30">
        <v>6.4089999999999998</v>
      </c>
      <c r="V66" s="30">
        <v>7.1276666666666664</v>
      </c>
      <c r="W66" s="30">
        <v>3.8659999999999997</v>
      </c>
      <c r="X66" s="30">
        <v>9.5850000000000009</v>
      </c>
      <c r="Y66" s="30">
        <v>4.0789999999999997</v>
      </c>
      <c r="Z66" s="30">
        <v>5.4560000000000004</v>
      </c>
      <c r="AA66" s="30">
        <v>3.5463333333333331</v>
      </c>
      <c r="AB66" s="19">
        <v>0.31803354120805116</v>
      </c>
      <c r="AC66" s="20">
        <v>0.27838282993029589</v>
      </c>
      <c r="AD66" s="20">
        <v>0.17559422921421236</v>
      </c>
      <c r="AE66" s="20">
        <v>0.27654475225539882</v>
      </c>
      <c r="AF66" s="20">
        <v>0.28958130694734674</v>
      </c>
      <c r="AG66" s="20">
        <v>0.12466889481074789</v>
      </c>
      <c r="AH66" s="20">
        <v>3.2393414968683878E-2</v>
      </c>
      <c r="AI66" s="18">
        <v>0.31783486278254647</v>
      </c>
      <c r="AJ66" s="18">
        <v>8.3769525087189892E-2</v>
      </c>
      <c r="AK66" s="18">
        <v>4.403407771260804E-2</v>
      </c>
      <c r="AL66" s="18">
        <v>0.58548441482246216</v>
      </c>
      <c r="AM66" s="18">
        <v>5.4442630355264629E-2</v>
      </c>
      <c r="AN66" s="18">
        <v>0.44139211592415173</v>
      </c>
      <c r="AO66" s="18">
        <v>0.14386567809360684</v>
      </c>
    </row>
    <row r="67" spans="1:41" x14ac:dyDescent="0.75">
      <c r="A67" s="2" t="s">
        <v>95</v>
      </c>
      <c r="B67" s="2" t="s">
        <v>13</v>
      </c>
      <c r="C67" s="2" t="str">
        <f t="shared" ref="C67:C130" si="1">_xlfn.CONCAT(G67,"_",I67,"m_",K67)</f>
        <v>Pump Cast_247.5m_0.2-0.7 μm</v>
      </c>
      <c r="D67" s="4" t="s">
        <v>76</v>
      </c>
      <c r="E67" s="5" t="s">
        <v>77</v>
      </c>
      <c r="G67" s="4" t="s">
        <v>32</v>
      </c>
      <c r="I67" s="10">
        <v>247.5</v>
      </c>
      <c r="J67" s="4" t="s">
        <v>34</v>
      </c>
      <c r="K67" s="9" t="s">
        <v>35</v>
      </c>
      <c r="L67" s="4" t="s">
        <v>13</v>
      </c>
      <c r="M67" s="4" t="s">
        <v>13</v>
      </c>
      <c r="N67" s="29">
        <v>15.719313934341098</v>
      </c>
      <c r="O67" s="30">
        <v>3.2595068815584378</v>
      </c>
      <c r="P67" s="30">
        <v>5.5365767044347285</v>
      </c>
      <c r="Q67" s="30">
        <v>5.9238118502648671</v>
      </c>
      <c r="R67" s="30">
        <v>13.145573940478609</v>
      </c>
      <c r="S67" s="30">
        <v>8.5077391291878435</v>
      </c>
      <c r="T67" s="30">
        <v>8.7397762605329508</v>
      </c>
      <c r="U67" s="30">
        <v>10.541697763047843</v>
      </c>
      <c r="V67" s="30">
        <v>10.617373801662751</v>
      </c>
      <c r="W67" s="30">
        <v>7.4069160121486393</v>
      </c>
      <c r="X67" s="30">
        <v>15.012776115237315</v>
      </c>
      <c r="Y67" s="30">
        <v>6.7249529173860321</v>
      </c>
      <c r="Z67" s="30">
        <v>9.5951395393376568</v>
      </c>
      <c r="AA67" s="30">
        <v>7.01533359922011</v>
      </c>
      <c r="AB67" s="17">
        <v>0.22707170347324412</v>
      </c>
      <c r="AC67" s="18">
        <v>0.23034668293677418</v>
      </c>
      <c r="AD67" s="18">
        <v>0.14481824916280472</v>
      </c>
      <c r="AE67" s="18">
        <v>0.2500165055509152</v>
      </c>
      <c r="AF67" s="18">
        <v>0.4002173252691571</v>
      </c>
      <c r="AG67" s="18">
        <v>0.35592936689554583</v>
      </c>
      <c r="AH67" s="18">
        <v>2.2958137399353738E-2</v>
      </c>
      <c r="AI67" s="18">
        <v>0.42202704762200949</v>
      </c>
      <c r="AJ67" s="18">
        <v>5.3327776285486288E-2</v>
      </c>
      <c r="AK67" s="18">
        <v>0.50014669226997199</v>
      </c>
      <c r="AL67" s="18">
        <v>0.39281990813266249</v>
      </c>
      <c r="AM67" s="18">
        <v>4.9600051978576941E-2</v>
      </c>
      <c r="AN67" s="18">
        <v>0.2774817109945707</v>
      </c>
      <c r="AO67" s="18">
        <v>0.19446573914644133</v>
      </c>
    </row>
    <row r="68" spans="1:41" x14ac:dyDescent="0.75">
      <c r="A68" s="2" t="s">
        <v>95</v>
      </c>
      <c r="B68" s="2" t="s">
        <v>13</v>
      </c>
      <c r="C68" s="2" t="str">
        <f t="shared" si="1"/>
        <v>Pump Cast_400m_0.2-0.7 μm</v>
      </c>
      <c r="D68" s="4" t="s">
        <v>76</v>
      </c>
      <c r="E68" s="5" t="s">
        <v>77</v>
      </c>
      <c r="G68" s="4" t="s">
        <v>32</v>
      </c>
      <c r="I68" s="10">
        <v>400</v>
      </c>
      <c r="J68" s="4" t="s">
        <v>34</v>
      </c>
      <c r="K68" s="9" t="s">
        <v>35</v>
      </c>
      <c r="L68" s="4" t="s">
        <v>13</v>
      </c>
      <c r="M68" s="4" t="s">
        <v>13</v>
      </c>
      <c r="N68" s="29">
        <v>18.006009844878918</v>
      </c>
      <c r="O68" s="30">
        <v>6.3564204107950735</v>
      </c>
      <c r="P68" s="30">
        <v>8.8036854237557165</v>
      </c>
      <c r="Q68" s="30">
        <v>7.4643121174291922</v>
      </c>
      <c r="R68" s="30">
        <v>15.583309671310385</v>
      </c>
      <c r="S68" s="30">
        <v>9.7694112480864579</v>
      </c>
      <c r="T68" s="30">
        <v>11.150858813305724</v>
      </c>
      <c r="U68" s="30">
        <v>12.069304351246879</v>
      </c>
      <c r="V68" s="30">
        <v>12.576871220309256</v>
      </c>
      <c r="W68" s="30">
        <v>9.2429535615650433</v>
      </c>
      <c r="X68" s="30">
        <v>14.782871009303312</v>
      </c>
      <c r="Y68" s="30">
        <v>8.2036405830896086</v>
      </c>
      <c r="Z68" s="30">
        <v>12.190431215490927</v>
      </c>
      <c r="AA68" s="30">
        <v>7.5570833756036873</v>
      </c>
      <c r="AB68" s="19">
        <v>0.75309179637747503</v>
      </c>
      <c r="AC68" s="20">
        <v>0.45103844686874772</v>
      </c>
      <c r="AD68" s="20">
        <v>0.33855037143338984</v>
      </c>
      <c r="AE68" s="20">
        <v>0.4669960302835548</v>
      </c>
      <c r="AF68" s="20">
        <v>0.23912932600702311</v>
      </c>
      <c r="AG68" s="20">
        <v>0.51570747777545611</v>
      </c>
      <c r="AH68" s="20">
        <v>0.27558444092641127</v>
      </c>
      <c r="AI68" s="18">
        <v>0.22697034545476258</v>
      </c>
      <c r="AJ68" s="18">
        <v>0.37681495081696609</v>
      </c>
      <c r="AK68" s="18">
        <v>1.3787085479985177</v>
      </c>
      <c r="AL68" s="18">
        <v>0.76055034259364718</v>
      </c>
      <c r="AM68" s="18">
        <v>0.40112468916167165</v>
      </c>
      <c r="AN68" s="18">
        <v>0.92263979906290883</v>
      </c>
      <c r="AO68" s="18">
        <v>0.45013224384089573</v>
      </c>
    </row>
    <row r="69" spans="1:41" x14ac:dyDescent="0.75">
      <c r="A69" s="2" t="s">
        <v>95</v>
      </c>
      <c r="B69" s="2" t="s">
        <v>45</v>
      </c>
      <c r="C69" s="2" t="str">
        <f t="shared" si="1"/>
        <v>Pump Cast_25m_0.7-53 μm</v>
      </c>
      <c r="D69" s="4" t="s">
        <v>76</v>
      </c>
      <c r="E69" s="5" t="s">
        <v>77</v>
      </c>
      <c r="G69" s="4" t="s">
        <v>32</v>
      </c>
      <c r="I69" s="10">
        <v>25</v>
      </c>
      <c r="J69" s="4" t="s">
        <v>38</v>
      </c>
      <c r="K69" s="9" t="s">
        <v>37</v>
      </c>
      <c r="L69" s="4" t="s">
        <v>14</v>
      </c>
      <c r="M69" s="4" t="s">
        <v>45</v>
      </c>
      <c r="N69" s="31">
        <v>0.26215664809918843</v>
      </c>
      <c r="O69" s="32">
        <v>-2.7768154136177325</v>
      </c>
      <c r="P69" s="32">
        <v>-3.2925740767082989</v>
      </c>
      <c r="Q69" s="32">
        <v>-3.5679724163796225</v>
      </c>
      <c r="R69" s="32">
        <v>0.55039198683269952</v>
      </c>
      <c r="S69" s="32">
        <v>-0.8689297061539456</v>
      </c>
      <c r="T69" s="32">
        <v>0.32825879933673541</v>
      </c>
      <c r="U69" s="32">
        <v>1.360108637447172</v>
      </c>
      <c r="V69" s="32">
        <v>0.63119927769216988</v>
      </c>
      <c r="W69" s="32">
        <v>0.59195403085961151</v>
      </c>
      <c r="X69" s="32">
        <v>1.4848293578809517</v>
      </c>
      <c r="Y69" s="32">
        <v>-1.7010684403049976</v>
      </c>
      <c r="Z69" s="32">
        <v>0.27363356590710847</v>
      </c>
      <c r="AA69" s="32">
        <v>-3.324172442640644</v>
      </c>
      <c r="AB69" s="21">
        <v>0.21568674039534239</v>
      </c>
      <c r="AC69" s="22">
        <v>0.33234878506568666</v>
      </c>
      <c r="AD69" s="22">
        <v>0.11285636594860381</v>
      </c>
      <c r="AE69" s="22">
        <v>0.13456011857342307</v>
      </c>
      <c r="AF69" s="22">
        <v>0.1359077044823295</v>
      </c>
      <c r="AG69" s="22">
        <v>6.9413171087111744E-2</v>
      </c>
      <c r="AH69" s="22">
        <v>0.167533406076432</v>
      </c>
      <c r="AI69" s="22">
        <v>0.19197546361761841</v>
      </c>
      <c r="AJ69" s="22">
        <v>6.9417517530169545E-2</v>
      </c>
      <c r="AK69" s="22">
        <v>0.22107691651062542</v>
      </c>
      <c r="AL69" s="22">
        <v>8.1804032133949448E-2</v>
      </c>
      <c r="AM69" s="22">
        <v>0.27347302348686259</v>
      </c>
      <c r="AN69" s="22">
        <v>0.1970659413818639</v>
      </c>
      <c r="AO69" s="22">
        <v>6.6998881490409931E-2</v>
      </c>
    </row>
    <row r="70" spans="1:41" x14ac:dyDescent="0.75">
      <c r="A70" s="2" t="s">
        <v>95</v>
      </c>
      <c r="B70" s="2" t="s">
        <v>45</v>
      </c>
      <c r="C70" s="2" t="str">
        <f t="shared" si="1"/>
        <v>Pump Cast_50m_1-53 μm</v>
      </c>
      <c r="D70" s="4" t="s">
        <v>76</v>
      </c>
      <c r="E70" s="5" t="s">
        <v>77</v>
      </c>
      <c r="G70" s="4" t="s">
        <v>32</v>
      </c>
      <c r="I70" s="8">
        <v>50</v>
      </c>
      <c r="J70" s="4" t="s">
        <v>38</v>
      </c>
      <c r="K70" s="9" t="s">
        <v>39</v>
      </c>
      <c r="L70" s="4" t="s">
        <v>14</v>
      </c>
      <c r="M70" s="4" t="s">
        <v>45</v>
      </c>
      <c r="N70" s="31">
        <v>3.4539394319520054</v>
      </c>
      <c r="O70" s="32">
        <v>-1.6631337041672223</v>
      </c>
      <c r="P70" s="32">
        <v>-3.1572708854861098</v>
      </c>
      <c r="Q70" s="32">
        <v>-3.9616378487559749</v>
      </c>
      <c r="R70" s="32">
        <v>2.0269544835013829</v>
      </c>
      <c r="S70" s="32">
        <v>-0.99562591114517895</v>
      </c>
      <c r="T70" s="32">
        <v>1.7623600876889276</v>
      </c>
      <c r="U70" s="32">
        <v>0.80690060046546697</v>
      </c>
      <c r="V70" s="32">
        <v>1.0298898085225849</v>
      </c>
      <c r="W70" s="32">
        <v>-1.7967082543290964</v>
      </c>
      <c r="X70" s="32">
        <v>2.0444724572931041</v>
      </c>
      <c r="Y70" s="32">
        <v>-2.9171286614245981</v>
      </c>
      <c r="Z70" s="32">
        <v>-3.6547083496135255</v>
      </c>
      <c r="AA70" s="32">
        <v>-3.9014198138469331</v>
      </c>
      <c r="AB70" s="21">
        <v>0.33835366172292886</v>
      </c>
      <c r="AC70" s="22">
        <v>0.23893421487248551</v>
      </c>
      <c r="AD70" s="22">
        <v>0.30438070216390944</v>
      </c>
      <c r="AE70" s="22">
        <v>0.3420920095174444</v>
      </c>
      <c r="AF70" s="22">
        <v>0.14142102486104838</v>
      </c>
      <c r="AG70" s="22">
        <v>0.18193465994418395</v>
      </c>
      <c r="AH70" s="22">
        <v>0.57241287557023779</v>
      </c>
      <c r="AI70" s="22">
        <v>6.8727472214166058E-2</v>
      </c>
      <c r="AJ70" s="22">
        <v>6.155032288705977E-2</v>
      </c>
      <c r="AK70" s="22">
        <v>0.67866017746733853</v>
      </c>
      <c r="AL70" s="22">
        <v>0.17455248423189657</v>
      </c>
      <c r="AM70" s="22">
        <v>0.21953325775424448</v>
      </c>
      <c r="AN70" s="22">
        <v>0.69141260033225316</v>
      </c>
      <c r="AO70" s="22">
        <v>0.38084022730456324</v>
      </c>
    </row>
    <row r="71" spans="1:41" x14ac:dyDescent="0.75">
      <c r="A71" s="2" t="s">
        <v>95</v>
      </c>
      <c r="B71" s="2" t="s">
        <v>45</v>
      </c>
      <c r="C71" s="2" t="str">
        <f t="shared" si="1"/>
        <v>Pump Cast_75m_1-53 μm</v>
      </c>
      <c r="D71" s="4" t="s">
        <v>76</v>
      </c>
      <c r="E71" s="5" t="s">
        <v>77</v>
      </c>
      <c r="G71" s="4" t="s">
        <v>32</v>
      </c>
      <c r="I71" s="8">
        <v>75</v>
      </c>
      <c r="J71" s="4" t="s">
        <v>38</v>
      </c>
      <c r="K71" s="9" t="s">
        <v>39</v>
      </c>
      <c r="L71" s="4" t="s">
        <v>14</v>
      </c>
      <c r="M71" s="4" t="s">
        <v>45</v>
      </c>
      <c r="N71" s="31">
        <v>3.6536666666666666</v>
      </c>
      <c r="O71" s="32">
        <v>-0.17500000000000002</v>
      </c>
      <c r="P71" s="32">
        <v>-2.2276666666666665</v>
      </c>
      <c r="Q71" s="32">
        <v>-1.9240000000000002</v>
      </c>
      <c r="R71" s="32">
        <v>3.65</v>
      </c>
      <c r="S71" s="32">
        <v>0.39599999999999996</v>
      </c>
      <c r="T71" s="32">
        <v>1.5026666666666666</v>
      </c>
      <c r="U71" s="32">
        <v>0.89233333333333331</v>
      </c>
      <c r="V71" s="32">
        <v>2.0230000000000001</v>
      </c>
      <c r="W71" s="32">
        <v>1.5493333333333332</v>
      </c>
      <c r="X71" s="32">
        <v>3.250666666666667</v>
      </c>
      <c r="Y71" s="32">
        <v>-0.71366666666666667</v>
      </c>
      <c r="Z71" s="32">
        <v>1.6600000000000001</v>
      </c>
      <c r="AA71" s="32">
        <v>-1.091</v>
      </c>
      <c r="AB71" s="21">
        <v>4.9003401242498731E-2</v>
      </c>
      <c r="AC71" s="22">
        <v>0.14870440477672481</v>
      </c>
      <c r="AD71" s="22">
        <v>0.43472443378919046</v>
      </c>
      <c r="AE71" s="22">
        <v>0.19918835307316535</v>
      </c>
      <c r="AF71" s="22">
        <v>0.18599999999999994</v>
      </c>
      <c r="AG71" s="22">
        <v>0.17400000000000007</v>
      </c>
      <c r="AH71" s="22">
        <v>0.42316230140849448</v>
      </c>
      <c r="AI71" s="22">
        <v>0.49212837078686444</v>
      </c>
      <c r="AJ71" s="22">
        <v>0.32129892623536788</v>
      </c>
      <c r="AK71" s="22">
        <v>0.80048068891968505</v>
      </c>
      <c r="AL71" s="22">
        <v>0.34103567750798924</v>
      </c>
      <c r="AM71" s="22">
        <v>7.8767590627956477E-2</v>
      </c>
      <c r="AN71" s="22">
        <v>0.193628510297425</v>
      </c>
      <c r="AO71" s="22">
        <v>0.36378427673553976</v>
      </c>
    </row>
    <row r="72" spans="1:41" x14ac:dyDescent="0.75">
      <c r="A72" s="2" t="s">
        <v>95</v>
      </c>
      <c r="B72" s="2" t="s">
        <v>14</v>
      </c>
      <c r="C72" s="2" t="str">
        <f t="shared" si="1"/>
        <v>Pump Cast_100m_1-53 μm</v>
      </c>
      <c r="D72" s="4" t="s">
        <v>76</v>
      </c>
      <c r="E72" s="5" t="s">
        <v>77</v>
      </c>
      <c r="G72" s="4" t="s">
        <v>32</v>
      </c>
      <c r="I72" s="8">
        <v>100</v>
      </c>
      <c r="J72" s="4" t="s">
        <v>38</v>
      </c>
      <c r="K72" s="9" t="s">
        <v>39</v>
      </c>
      <c r="L72" s="4" t="s">
        <v>14</v>
      </c>
      <c r="M72" s="4" t="s">
        <v>14</v>
      </c>
      <c r="N72" s="31">
        <v>7.7491070822181998</v>
      </c>
      <c r="O72" s="32">
        <v>1.9791086255271704</v>
      </c>
      <c r="P72" s="32">
        <v>-2.9431666260915077</v>
      </c>
      <c r="Q72" s="32">
        <v>-1.7456063468856042</v>
      </c>
      <c r="R72" s="32">
        <v>6.2469073976630378</v>
      </c>
      <c r="S72" s="32">
        <v>1.9830233842407707</v>
      </c>
      <c r="T72" s="32">
        <v>2.8620646590219248</v>
      </c>
      <c r="U72" s="32">
        <v>2.5670342068787764</v>
      </c>
      <c r="V72" s="32">
        <v>4.6635654415896166</v>
      </c>
      <c r="W72" s="32">
        <v>1.0534461333385954</v>
      </c>
      <c r="X72" s="32">
        <v>4.8333236148975551</v>
      </c>
      <c r="Y72" s="32">
        <v>-1.3822455608323418</v>
      </c>
      <c r="Z72" s="32">
        <v>1.4577339423067694</v>
      </c>
      <c r="AA72" s="32">
        <v>-1.8242574083133916</v>
      </c>
      <c r="AB72" s="21">
        <v>0.81123936575524758</v>
      </c>
      <c r="AC72" s="22">
        <v>0.65903892280104603</v>
      </c>
      <c r="AD72" s="22">
        <v>0.27123714914898117</v>
      </c>
      <c r="AE72" s="22">
        <v>0.1911442050803567</v>
      </c>
      <c r="AF72" s="22">
        <v>0.39627503438999379</v>
      </c>
      <c r="AG72" s="22">
        <v>0.25278637368609119</v>
      </c>
      <c r="AH72" s="22">
        <v>5.4464689405509352E-2</v>
      </c>
      <c r="AI72" s="22">
        <v>0.51460212100029645</v>
      </c>
      <c r="AJ72" s="22">
        <v>8.436552553788608E-2</v>
      </c>
      <c r="AK72" s="22">
        <v>0.54819642678272185</v>
      </c>
      <c r="AL72" s="22">
        <v>0.19782876771843852</v>
      </c>
      <c r="AM72" s="22">
        <v>8.7602474614653994E-2</v>
      </c>
      <c r="AN72" s="22">
        <v>0.14631377554177688</v>
      </c>
      <c r="AO72" s="22">
        <v>8.9239724421695463E-2</v>
      </c>
    </row>
    <row r="73" spans="1:41" x14ac:dyDescent="0.75">
      <c r="A73" s="2" t="s">
        <v>95</v>
      </c>
      <c r="B73" s="2" t="s">
        <v>14</v>
      </c>
      <c r="C73" s="2" t="str">
        <f t="shared" si="1"/>
        <v>Pump Cast_125m_1-53 μm</v>
      </c>
      <c r="D73" s="4" t="s">
        <v>76</v>
      </c>
      <c r="E73" s="5" t="s">
        <v>77</v>
      </c>
      <c r="G73" s="4" t="s">
        <v>32</v>
      </c>
      <c r="I73" s="8">
        <v>125</v>
      </c>
      <c r="J73" s="4" t="s">
        <v>38</v>
      </c>
      <c r="K73" s="9" t="s">
        <v>39</v>
      </c>
      <c r="L73" s="4" t="s">
        <v>14</v>
      </c>
      <c r="M73" s="4" t="s">
        <v>14</v>
      </c>
      <c r="N73" s="31">
        <v>8.1719999999999988</v>
      </c>
      <c r="O73" s="32">
        <v>2.1903333333333332</v>
      </c>
      <c r="P73" s="32">
        <v>-1.4466666666666665</v>
      </c>
      <c r="Q73" s="32">
        <v>0.156</v>
      </c>
      <c r="R73" s="32">
        <v>5.4710000000000001</v>
      </c>
      <c r="S73" s="32">
        <v>3.1843333333333335</v>
      </c>
      <c r="T73" s="32">
        <v>4.2876666666666665</v>
      </c>
      <c r="U73" s="32">
        <v>3.2846666666666664</v>
      </c>
      <c r="V73" s="32">
        <v>5.8180000000000005</v>
      </c>
      <c r="W73" s="32">
        <v>1.2373333333333334</v>
      </c>
      <c r="X73" s="32">
        <v>6.5273333333333339</v>
      </c>
      <c r="Y73" s="32">
        <v>0.48033333333333333</v>
      </c>
      <c r="Z73" s="32">
        <v>2.4889999999999994</v>
      </c>
      <c r="AA73" s="32">
        <v>-0.42833333333333329</v>
      </c>
      <c r="AB73" s="21">
        <v>0.5440248156104649</v>
      </c>
      <c r="AC73" s="22">
        <v>0.68614964354237984</v>
      </c>
      <c r="AD73" s="22">
        <v>0.15271651296874653</v>
      </c>
      <c r="AE73" s="22">
        <v>0.27541423347387112</v>
      </c>
      <c r="AF73" s="22">
        <v>0.27126370933097538</v>
      </c>
      <c r="AG73" s="22">
        <v>0.20014328200899814</v>
      </c>
      <c r="AH73" s="22">
        <v>0.32508665511419144</v>
      </c>
      <c r="AI73" s="22">
        <v>0.24469845388423145</v>
      </c>
      <c r="AJ73" s="22">
        <v>0.15214795430764075</v>
      </c>
      <c r="AK73" s="22">
        <v>0.85403766505543166</v>
      </c>
      <c r="AL73" s="22">
        <v>7.537461995481827E-2</v>
      </c>
      <c r="AM73" s="22">
        <v>0.14251432676518266</v>
      </c>
      <c r="AN73" s="22">
        <v>0.43395506679839724</v>
      </c>
      <c r="AO73" s="22">
        <v>8.6858121861650761E-2</v>
      </c>
    </row>
    <row r="74" spans="1:41" x14ac:dyDescent="0.75">
      <c r="A74" s="2" t="s">
        <v>95</v>
      </c>
      <c r="B74" s="2" t="s">
        <v>14</v>
      </c>
      <c r="C74" s="2" t="str">
        <f t="shared" si="1"/>
        <v>Pump Cast_150m_0.7-53 μm</v>
      </c>
      <c r="D74" s="4" t="s">
        <v>76</v>
      </c>
      <c r="E74" s="5" t="s">
        <v>77</v>
      </c>
      <c r="G74" s="4" t="s">
        <v>32</v>
      </c>
      <c r="I74" s="8">
        <v>150</v>
      </c>
      <c r="J74" s="4" t="s">
        <v>38</v>
      </c>
      <c r="K74" s="9" t="s">
        <v>37</v>
      </c>
      <c r="L74" s="4" t="s">
        <v>14</v>
      </c>
      <c r="M74" s="4" t="s">
        <v>14</v>
      </c>
      <c r="N74" s="31">
        <v>6.7303743025266982</v>
      </c>
      <c r="O74" s="32">
        <v>0.42978964117951757</v>
      </c>
      <c r="P74" s="32">
        <v>0.1156942491093827</v>
      </c>
      <c r="Q74" s="32">
        <v>1.5016849924896836</v>
      </c>
      <c r="R74" s="32">
        <v>5.6622853426973903</v>
      </c>
      <c r="S74" s="32">
        <v>3.7625404192465299</v>
      </c>
      <c r="T74" s="32">
        <v>5.3751268580811864</v>
      </c>
      <c r="U74" s="32">
        <v>4.3511870953445166</v>
      </c>
      <c r="V74" s="32">
        <v>7.3869503371492709</v>
      </c>
      <c r="W74" s="32"/>
      <c r="X74" s="32">
        <v>9.5190779354475925</v>
      </c>
      <c r="Y74" s="32">
        <v>2.0601843376867421</v>
      </c>
      <c r="Z74" s="32">
        <v>4.3186908968776923</v>
      </c>
      <c r="AA74" s="32">
        <v>1.1562325518222409</v>
      </c>
      <c r="AB74" s="21">
        <v>0.26387486288158263</v>
      </c>
      <c r="AC74" s="22">
        <v>0.65348388699763904</v>
      </c>
      <c r="AD74" s="22">
        <v>0.13837010958173188</v>
      </c>
      <c r="AE74" s="22">
        <v>0.3624599031335321</v>
      </c>
      <c r="AF74" s="22">
        <v>0.17348986951425416</v>
      </c>
      <c r="AG74" s="22">
        <v>8.1165011664303191E-2</v>
      </c>
      <c r="AH74" s="22">
        <v>6.9819940606304101E-2</v>
      </c>
      <c r="AI74" s="22">
        <v>0.25776951927479125</v>
      </c>
      <c r="AJ74" s="22">
        <v>0.20836425586752841</v>
      </c>
      <c r="AK74" s="22"/>
      <c r="AL74" s="22">
        <v>2.9385572925507104E-2</v>
      </c>
      <c r="AM74" s="22">
        <v>0.11446331738585729</v>
      </c>
      <c r="AN74" s="22">
        <v>0.32502759152828403</v>
      </c>
      <c r="AO74" s="22">
        <v>0.24577620073604695</v>
      </c>
    </row>
    <row r="75" spans="1:41" x14ac:dyDescent="0.75">
      <c r="A75" s="2" t="s">
        <v>95</v>
      </c>
      <c r="B75" s="2" t="s">
        <v>14</v>
      </c>
      <c r="C75" s="2" t="str">
        <f t="shared" si="1"/>
        <v>Pump Cast_200m_1-53 μm</v>
      </c>
      <c r="D75" s="4" t="s">
        <v>76</v>
      </c>
      <c r="E75" s="5" t="s">
        <v>77</v>
      </c>
      <c r="G75" s="4" t="s">
        <v>32</v>
      </c>
      <c r="I75" s="8">
        <v>200</v>
      </c>
      <c r="J75" s="4" t="s">
        <v>38</v>
      </c>
      <c r="K75" s="9" t="s">
        <v>39</v>
      </c>
      <c r="L75" s="4" t="s">
        <v>14</v>
      </c>
      <c r="M75" s="4" t="s">
        <v>14</v>
      </c>
      <c r="N75" s="31">
        <v>14.148950219652138</v>
      </c>
      <c r="O75" s="32">
        <v>6.0175356533302251</v>
      </c>
      <c r="P75" s="32">
        <v>0.30385181029549058</v>
      </c>
      <c r="Q75" s="32">
        <v>4.5728580048542575</v>
      </c>
      <c r="R75" s="32">
        <v>6.2563283329107753</v>
      </c>
      <c r="S75" s="32">
        <v>9.3201720780282269</v>
      </c>
      <c r="T75" s="32">
        <v>9.4036230749769505</v>
      </c>
      <c r="U75" s="32">
        <v>9.9939214689778826</v>
      </c>
      <c r="V75" s="32">
        <v>10.824457581467568</v>
      </c>
      <c r="W75" s="32">
        <v>5.9918862127096224</v>
      </c>
      <c r="X75" s="32">
        <v>13.880353612589902</v>
      </c>
      <c r="Y75" s="32">
        <v>4.8152632817053149</v>
      </c>
      <c r="Z75" s="32">
        <v>7.1282286841477713</v>
      </c>
      <c r="AA75" s="32">
        <v>3.7900081763352733</v>
      </c>
      <c r="AB75" s="21">
        <v>2.5496384928193159</v>
      </c>
      <c r="AC75" s="22">
        <v>0.90431377406689961</v>
      </c>
      <c r="AD75" s="22">
        <v>0.77042090494673332</v>
      </c>
      <c r="AE75" s="22">
        <v>0.80910437066374774</v>
      </c>
      <c r="AF75" s="22">
        <v>2</v>
      </c>
      <c r="AG75" s="22">
        <v>0.41656191647239976</v>
      </c>
      <c r="AH75" s="22">
        <v>2</v>
      </c>
      <c r="AI75" s="22">
        <v>0.47787206741581006</v>
      </c>
      <c r="AJ75" s="22">
        <v>0.12948780309434266</v>
      </c>
      <c r="AK75" s="22">
        <v>2</v>
      </c>
      <c r="AL75" s="22">
        <v>0.28510671673806809</v>
      </c>
      <c r="AM75" s="22">
        <v>0.69235452607984294</v>
      </c>
      <c r="AN75" s="22">
        <v>0.38087476132587961</v>
      </c>
      <c r="AO75" s="22">
        <v>0.25391290964900071</v>
      </c>
    </row>
    <row r="76" spans="1:41" x14ac:dyDescent="0.75">
      <c r="A76" s="2" t="s">
        <v>95</v>
      </c>
      <c r="B76" s="2" t="s">
        <v>14</v>
      </c>
      <c r="C76" s="2" t="str">
        <f t="shared" si="1"/>
        <v>Pump Cast_247.5m_0.7-53 μm</v>
      </c>
      <c r="D76" s="4" t="s">
        <v>76</v>
      </c>
      <c r="E76" s="5" t="s">
        <v>77</v>
      </c>
      <c r="G76" s="4" t="s">
        <v>32</v>
      </c>
      <c r="I76" s="8">
        <v>247.5</v>
      </c>
      <c r="J76" s="4" t="s">
        <v>36</v>
      </c>
      <c r="K76" s="9" t="s">
        <v>37</v>
      </c>
      <c r="L76" s="4" t="s">
        <v>14</v>
      </c>
      <c r="M76" s="4" t="s">
        <v>14</v>
      </c>
      <c r="N76" s="31">
        <v>14.266301869864016</v>
      </c>
      <c r="O76" s="32">
        <v>4.5618275919131648</v>
      </c>
      <c r="P76" s="32">
        <v>1.2524864236349704</v>
      </c>
      <c r="Q76" s="32">
        <v>5.9833180127178949</v>
      </c>
      <c r="R76" s="32">
        <v>11.621275013079888</v>
      </c>
      <c r="S76" s="32">
        <v>9.4458805328554423</v>
      </c>
      <c r="T76" s="32">
        <v>11.184342898129604</v>
      </c>
      <c r="U76" s="32">
        <v>10.353687020305307</v>
      </c>
      <c r="V76" s="32">
        <v>10.923501830952041</v>
      </c>
      <c r="W76" s="32">
        <v>6.7953984468399957</v>
      </c>
      <c r="X76" s="32">
        <v>14.698999775456027</v>
      </c>
      <c r="Y76" s="32">
        <v>6.3369334054480939</v>
      </c>
      <c r="Z76" s="32">
        <v>9.7690530350594003</v>
      </c>
      <c r="AA76" s="32">
        <v>5.8408147137671715</v>
      </c>
      <c r="AB76" s="21">
        <v>7.9780683313098039E-2</v>
      </c>
      <c r="AC76" s="22">
        <v>0.17536430357848684</v>
      </c>
      <c r="AD76" s="22">
        <v>0.26738888569865588</v>
      </c>
      <c r="AE76" s="22">
        <v>0.18243311708388463</v>
      </c>
      <c r="AF76" s="22">
        <v>0.19042578685220057</v>
      </c>
      <c r="AG76" s="22">
        <v>0.22279284873309665</v>
      </c>
      <c r="AH76" s="22">
        <v>0.30591685136978392</v>
      </c>
      <c r="AI76" s="22">
        <v>0.1757850559901335</v>
      </c>
      <c r="AJ76" s="22">
        <v>0.14267256429745778</v>
      </c>
      <c r="AK76" s="22">
        <v>0.27574225250081358</v>
      </c>
      <c r="AL76" s="22">
        <v>0.32660560851875065</v>
      </c>
      <c r="AM76" s="22">
        <v>8.8249972543202312E-2</v>
      </c>
      <c r="AN76" s="22">
        <v>0.3423845363137718</v>
      </c>
      <c r="AO76" s="22">
        <v>0.13733649909706763</v>
      </c>
    </row>
    <row r="77" spans="1:41" x14ac:dyDescent="0.75">
      <c r="A77" s="2" t="s">
        <v>95</v>
      </c>
      <c r="B77" s="2" t="s">
        <v>14</v>
      </c>
      <c r="C77" s="2" t="str">
        <f t="shared" si="1"/>
        <v>Pump Cast_402.5m_0.7-53 μm</v>
      </c>
      <c r="D77" s="4" t="s">
        <v>76</v>
      </c>
      <c r="E77" s="5" t="s">
        <v>77</v>
      </c>
      <c r="G77" s="4" t="s">
        <v>32</v>
      </c>
      <c r="I77" s="8">
        <v>402.5</v>
      </c>
      <c r="J77" s="4" t="s">
        <v>38</v>
      </c>
      <c r="K77" s="9" t="s">
        <v>37</v>
      </c>
      <c r="L77" s="4" t="s">
        <v>14</v>
      </c>
      <c r="M77" s="4" t="s">
        <v>14</v>
      </c>
      <c r="N77" s="31">
        <v>15.146950228647254</v>
      </c>
      <c r="O77" s="32">
        <v>7.2411040040460346</v>
      </c>
      <c r="P77" s="32">
        <v>1.5328476636357939</v>
      </c>
      <c r="Q77" s="32">
        <v>4.6910556988039174</v>
      </c>
      <c r="R77" s="32">
        <v>8.9069478901275421</v>
      </c>
      <c r="S77" s="32">
        <v>9.4906657002756667</v>
      </c>
      <c r="T77" s="32">
        <v>11.599434878304345</v>
      </c>
      <c r="U77" s="32">
        <v>10.170678647892634</v>
      </c>
      <c r="V77" s="32">
        <v>12.584285162749586</v>
      </c>
      <c r="W77" s="32">
        <v>7.8676437687908454</v>
      </c>
      <c r="X77" s="32">
        <v>16.041232280879139</v>
      </c>
      <c r="Y77" s="32">
        <v>7.5999217645421338</v>
      </c>
      <c r="Z77" s="32">
        <v>9.3021285218261109</v>
      </c>
      <c r="AA77" s="32">
        <v>5.7922404925668056</v>
      </c>
      <c r="AB77" s="21">
        <v>0.36392012810877128</v>
      </c>
      <c r="AC77" s="22">
        <v>0.14399420782116115</v>
      </c>
      <c r="AD77" s="22">
        <v>0.23731180584257461</v>
      </c>
      <c r="AE77" s="22">
        <v>9.3308764851527337E-2</v>
      </c>
      <c r="AF77" s="22">
        <v>0.20196163245890766</v>
      </c>
      <c r="AG77" s="22">
        <v>0.10639465325387512</v>
      </c>
      <c r="AH77" s="22">
        <v>0.10834081252361141</v>
      </c>
      <c r="AI77" s="22">
        <v>9.2265758024058217E-2</v>
      </c>
      <c r="AJ77" s="22">
        <v>0.15618560604205273</v>
      </c>
      <c r="AK77" s="22">
        <v>0.90633866658976836</v>
      </c>
      <c r="AL77" s="22">
        <v>0.14474672511393591</v>
      </c>
      <c r="AM77" s="22">
        <v>0.40246472790362192</v>
      </c>
      <c r="AN77" s="22">
        <v>0.19900948243003652</v>
      </c>
      <c r="AO77" s="22">
        <v>9.4180810306708579E-2</v>
      </c>
    </row>
    <row r="78" spans="1:41" x14ac:dyDescent="0.75">
      <c r="A78" s="2" t="s">
        <v>95</v>
      </c>
      <c r="B78" s="2" t="s">
        <v>14</v>
      </c>
      <c r="C78" s="2" t="str">
        <f t="shared" si="1"/>
        <v>Pump Cast_600m_0.7-53 μm</v>
      </c>
      <c r="D78" s="4" t="s">
        <v>76</v>
      </c>
      <c r="E78" s="5" t="s">
        <v>77</v>
      </c>
      <c r="G78" s="4" t="s">
        <v>32</v>
      </c>
      <c r="I78" s="8">
        <v>600</v>
      </c>
      <c r="J78" s="4" t="s">
        <v>36</v>
      </c>
      <c r="K78" s="9" t="s">
        <v>37</v>
      </c>
      <c r="L78" s="4" t="s">
        <v>14</v>
      </c>
      <c r="M78" s="4" t="s">
        <v>14</v>
      </c>
      <c r="N78" s="31">
        <v>15.828605650766194</v>
      </c>
      <c r="O78" s="32">
        <v>6.0129584514039109</v>
      </c>
      <c r="P78" s="32">
        <v>2.4</v>
      </c>
      <c r="Q78" s="32">
        <v>7.1154815211728417</v>
      </c>
      <c r="R78" s="32">
        <v>14.578310582724383</v>
      </c>
      <c r="S78" s="32">
        <v>10.349048623316607</v>
      </c>
      <c r="T78" s="32">
        <v>13.42556729702167</v>
      </c>
      <c r="U78" s="32">
        <v>10.66240843155334</v>
      </c>
      <c r="V78" s="32">
        <v>12.122568014189042</v>
      </c>
      <c r="W78" s="32">
        <v>8.0405469125768807</v>
      </c>
      <c r="X78" s="32">
        <v>16.084200360540521</v>
      </c>
      <c r="Y78" s="32">
        <v>7.5178318423478894</v>
      </c>
      <c r="Z78" s="32">
        <v>10.811607508708059</v>
      </c>
      <c r="AA78" s="32">
        <v>7.5881735231763257</v>
      </c>
      <c r="AB78" s="21">
        <v>0.3430993795445752</v>
      </c>
      <c r="AC78" s="22">
        <v>0.14759961628233068</v>
      </c>
      <c r="AD78" s="22">
        <v>0.31070360548623549</v>
      </c>
      <c r="AE78" s="22">
        <v>0.40311434830520648</v>
      </c>
      <c r="AF78" s="22">
        <v>0.28105323419996359</v>
      </c>
      <c r="AG78" s="22">
        <v>0.34831315457702322</v>
      </c>
      <c r="AH78" s="22">
        <v>0.46262515787295255</v>
      </c>
      <c r="AI78" s="22">
        <v>0.55342861727047599</v>
      </c>
      <c r="AJ78" s="22">
        <v>0.23469656054380969</v>
      </c>
      <c r="AK78" s="22">
        <v>0.19891794521688513</v>
      </c>
      <c r="AL78" s="22">
        <v>0.3106666704264664</v>
      </c>
      <c r="AM78" s="22">
        <v>0.40032823232600129</v>
      </c>
      <c r="AN78" s="22">
        <v>0.60114114006224428</v>
      </c>
      <c r="AO78" s="22">
        <v>0.36035341741614751</v>
      </c>
    </row>
    <row r="79" spans="1:41" x14ac:dyDescent="0.75">
      <c r="A79" s="2" t="s">
        <v>95</v>
      </c>
      <c r="B79" s="2" t="s">
        <v>14</v>
      </c>
      <c r="C79" s="2" t="str">
        <f t="shared" si="1"/>
        <v>Pump Cast_850m_0.7-53 μm</v>
      </c>
      <c r="D79" s="4" t="s">
        <v>76</v>
      </c>
      <c r="E79" s="5" t="s">
        <v>77</v>
      </c>
      <c r="G79" s="4" t="s">
        <v>32</v>
      </c>
      <c r="I79" s="8">
        <v>850</v>
      </c>
      <c r="J79" s="4" t="s">
        <v>36</v>
      </c>
      <c r="K79" s="9" t="s">
        <v>37</v>
      </c>
      <c r="L79" s="4" t="s">
        <v>14</v>
      </c>
      <c r="M79" s="4" t="s">
        <v>14</v>
      </c>
      <c r="N79" s="31">
        <v>15.567333333333332</v>
      </c>
      <c r="O79" s="32">
        <v>6.0143333333333331</v>
      </c>
      <c r="P79" s="32">
        <v>2.403</v>
      </c>
      <c r="Q79" s="32">
        <v>7.487333333333333</v>
      </c>
      <c r="R79" s="32">
        <v>12.975333333333333</v>
      </c>
      <c r="S79" s="32">
        <v>10.588666666666667</v>
      </c>
      <c r="T79" s="32">
        <v>10.902333333333333</v>
      </c>
      <c r="U79" s="32">
        <v>11.222666666666667</v>
      </c>
      <c r="V79" s="32">
        <v>12.395666666666665</v>
      </c>
      <c r="W79" s="32">
        <v>8.9256666666666664</v>
      </c>
      <c r="X79" s="32">
        <v>15.462666666666665</v>
      </c>
      <c r="Y79" s="32">
        <v>7.4163333333333332</v>
      </c>
      <c r="Z79" s="32">
        <v>11.053333333333333</v>
      </c>
      <c r="AA79" s="32">
        <v>6.8369999999999997</v>
      </c>
      <c r="AB79" s="21">
        <v>0.25985444643757982</v>
      </c>
      <c r="AC79" s="22">
        <v>0.12343554323343853</v>
      </c>
      <c r="AD79" s="22">
        <v>0.20525350179716798</v>
      </c>
      <c r="AE79" s="22">
        <v>0.40034027193541805</v>
      </c>
      <c r="AF79" s="22">
        <v>0.17679460776078246</v>
      </c>
      <c r="AG79" s="22">
        <v>0.26817966614443056</v>
      </c>
      <c r="AH79" s="22">
        <v>0.10587886159809975</v>
      </c>
      <c r="AI79" s="22">
        <v>0.15001444374912296</v>
      </c>
      <c r="AJ79" s="22">
        <v>0.33910814400918882</v>
      </c>
      <c r="AK79" s="22">
        <v>0.98437916136687387</v>
      </c>
      <c r="AL79" s="22">
        <v>0.45307210610818549</v>
      </c>
      <c r="AM79" s="22">
        <v>5.7933870346571485E-2</v>
      </c>
      <c r="AN79" s="22">
        <v>0.80529766753251353</v>
      </c>
      <c r="AO79" s="22">
        <v>0.19277966697766236</v>
      </c>
    </row>
    <row r="80" spans="1:41" x14ac:dyDescent="0.75">
      <c r="A80" s="2" t="s">
        <v>95</v>
      </c>
      <c r="B80" s="2" t="s">
        <v>14</v>
      </c>
      <c r="C80" s="2" t="str">
        <f t="shared" si="1"/>
        <v>Pump Cast_1200m_0.7-53 μm</v>
      </c>
      <c r="D80" s="4" t="s">
        <v>76</v>
      </c>
      <c r="E80" s="5" t="s">
        <v>77</v>
      </c>
      <c r="G80" s="4" t="s">
        <v>32</v>
      </c>
      <c r="I80" s="8">
        <v>1200</v>
      </c>
      <c r="J80" s="4" t="s">
        <v>36</v>
      </c>
      <c r="K80" s="9" t="s">
        <v>37</v>
      </c>
      <c r="L80" s="4" t="s">
        <v>14</v>
      </c>
      <c r="M80" s="4" t="s">
        <v>14</v>
      </c>
      <c r="N80" s="31">
        <v>16.345604863524581</v>
      </c>
      <c r="O80" s="32">
        <v>6.3851386636186902</v>
      </c>
      <c r="P80" s="32">
        <v>3.4594235636974524</v>
      </c>
      <c r="Q80" s="32">
        <v>6.8556156480125674</v>
      </c>
      <c r="R80" s="32">
        <v>14.386302443667823</v>
      </c>
      <c r="S80" s="32">
        <v>9.7894775355423569</v>
      </c>
      <c r="T80" s="32">
        <v>12.166642269821091</v>
      </c>
      <c r="U80" s="32">
        <v>10.741293887808183</v>
      </c>
      <c r="V80" s="32">
        <v>12.594348619270074</v>
      </c>
      <c r="W80" s="32">
        <v>7.1220834927089562</v>
      </c>
      <c r="X80" s="32">
        <v>15.833715042120565</v>
      </c>
      <c r="Y80" s="32">
        <v>7.0300926826290562</v>
      </c>
      <c r="Z80" s="32">
        <v>11.268798385461926</v>
      </c>
      <c r="AA80" s="32">
        <v>6.6023863331800756</v>
      </c>
      <c r="AB80" s="21">
        <v>8.0835317223810377E-2</v>
      </c>
      <c r="AC80" s="22">
        <v>0.16363753772904688</v>
      </c>
      <c r="AD80" s="22">
        <v>0.58135032700661793</v>
      </c>
      <c r="AE80" s="22">
        <v>5.8667831147149498E-2</v>
      </c>
      <c r="AF80" s="22">
        <v>0.24649712730710499</v>
      </c>
      <c r="AG80" s="22">
        <v>0.16531468661946583</v>
      </c>
      <c r="AH80" s="22">
        <v>0.21926991573845864</v>
      </c>
      <c r="AI80" s="22">
        <v>0.25567104364134591</v>
      </c>
      <c r="AJ80" s="22">
        <v>0.115097404283783</v>
      </c>
      <c r="AK80" s="22">
        <v>0.65840329243250395</v>
      </c>
      <c r="AL80" s="22">
        <v>0.12498887687756192</v>
      </c>
      <c r="AM80" s="22">
        <v>0.30811113667135159</v>
      </c>
      <c r="AN80" s="22">
        <v>0.73278102514555643</v>
      </c>
      <c r="AO80" s="22">
        <v>0.40761975407223783</v>
      </c>
    </row>
    <row r="81" spans="1:41" x14ac:dyDescent="0.75">
      <c r="A81" s="2" t="s">
        <v>95</v>
      </c>
      <c r="B81" s="2" t="s">
        <v>45</v>
      </c>
      <c r="C81" s="2" t="str">
        <f t="shared" si="1"/>
        <v>Pump Cast_25m_&gt;53 μm</v>
      </c>
      <c r="D81" s="4" t="s">
        <v>76</v>
      </c>
      <c r="E81" s="5" t="s">
        <v>77</v>
      </c>
      <c r="G81" s="4" t="s">
        <v>32</v>
      </c>
      <c r="I81" s="8">
        <v>25</v>
      </c>
      <c r="J81" s="4">
        <v>5300</v>
      </c>
      <c r="K81" s="9" t="s">
        <v>41</v>
      </c>
      <c r="L81" s="4" t="s">
        <v>12</v>
      </c>
      <c r="M81" s="4" t="s">
        <v>45</v>
      </c>
      <c r="N81" s="31">
        <v>3.1290724923146946</v>
      </c>
      <c r="O81" s="30">
        <v>0.69745984655160909</v>
      </c>
      <c r="P81" s="32">
        <v>0.57537774387000329</v>
      </c>
      <c r="Q81" s="32">
        <v>-4.1415565294286347</v>
      </c>
      <c r="R81" s="32">
        <v>1.7367140067732094</v>
      </c>
      <c r="S81" s="32">
        <v>0.94715751832531792</v>
      </c>
      <c r="T81" s="32">
        <v>0.29317095693462036</v>
      </c>
      <c r="U81" s="32">
        <v>-0.23112498546003746</v>
      </c>
      <c r="V81" s="32">
        <v>-2.4657520018341775E-2</v>
      </c>
      <c r="W81" s="32">
        <v>0.53214753753798993</v>
      </c>
      <c r="X81" s="32">
        <v>1.167458649793258</v>
      </c>
      <c r="Y81" s="32">
        <v>-3.0397050304382796</v>
      </c>
      <c r="Z81" s="32">
        <v>-0.98056384243182071</v>
      </c>
      <c r="AA81" s="32">
        <v>-1.7106355669668618</v>
      </c>
      <c r="AB81" s="21">
        <v>0.25085871524980041</v>
      </c>
      <c r="AC81" s="22">
        <v>0.29381746766940586</v>
      </c>
      <c r="AD81" s="22">
        <v>0.36169365865864961</v>
      </c>
      <c r="AE81" s="22">
        <v>0.19794714482616296</v>
      </c>
      <c r="AF81" s="22">
        <v>0.78475669600666087</v>
      </c>
      <c r="AG81" s="22">
        <v>0.2532375747350627</v>
      </c>
      <c r="AH81" s="22">
        <v>0.50852730832376303</v>
      </c>
      <c r="AI81" s="22">
        <v>5.4831991268761315E-2</v>
      </c>
      <c r="AJ81" s="22">
        <v>0.11066554550225317</v>
      </c>
      <c r="AK81" s="22">
        <v>0.73124559392392574</v>
      </c>
      <c r="AL81" s="22">
        <v>4.832015581825496E-2</v>
      </c>
      <c r="AM81" s="22">
        <v>0.37576885001133481</v>
      </c>
      <c r="AN81" s="22">
        <v>0.91239529768557337</v>
      </c>
      <c r="AO81" s="22">
        <v>0.21951438921841518</v>
      </c>
    </row>
    <row r="82" spans="1:41" x14ac:dyDescent="0.75">
      <c r="A82" s="2" t="s">
        <v>95</v>
      </c>
      <c r="B82" s="2" t="s">
        <v>12</v>
      </c>
      <c r="C82" s="2" t="str">
        <f t="shared" si="1"/>
        <v>Pump Cast_120m_&gt;53 μm</v>
      </c>
      <c r="D82" s="4" t="s">
        <v>76</v>
      </c>
      <c r="E82" s="5" t="s">
        <v>77</v>
      </c>
      <c r="G82" s="4" t="s">
        <v>32</v>
      </c>
      <c r="I82" s="8">
        <v>120</v>
      </c>
      <c r="J82" s="4">
        <v>5300</v>
      </c>
      <c r="K82" s="9" t="s">
        <v>41</v>
      </c>
      <c r="L82" s="4" t="s">
        <v>12</v>
      </c>
      <c r="M82" s="4" t="s">
        <v>12</v>
      </c>
      <c r="N82" s="31">
        <v>7.295484987161017</v>
      </c>
      <c r="O82" s="30">
        <v>0.3211439066223008</v>
      </c>
      <c r="P82" s="32">
        <v>-2.7206268849188469</v>
      </c>
      <c r="Q82" s="32">
        <v>0.29557715367415588</v>
      </c>
      <c r="R82" s="32">
        <v>2.6433451645307877</v>
      </c>
      <c r="S82" s="32">
        <v>4.1258804308791444</v>
      </c>
      <c r="T82" s="32">
        <v>2.9173467471132106</v>
      </c>
      <c r="U82" s="32">
        <v>5.2605732952751056</v>
      </c>
      <c r="V82" s="32">
        <v>4.4649763120861197</v>
      </c>
      <c r="W82" s="32"/>
      <c r="X82" s="32">
        <v>6.5658233142067202</v>
      </c>
      <c r="Y82" s="32">
        <v>1.8167989540887841</v>
      </c>
      <c r="Z82" s="32">
        <v>1.4289243994938998</v>
      </c>
      <c r="AA82" s="32">
        <v>-9.7343470581546465E-2</v>
      </c>
      <c r="AB82" s="21">
        <v>0.38708101830337938</v>
      </c>
      <c r="AC82" s="22">
        <v>0.54205875220866373</v>
      </c>
      <c r="AD82" s="22">
        <v>0.452214562614775</v>
      </c>
      <c r="AE82" s="22">
        <v>0.11335738394753732</v>
      </c>
      <c r="AF82" s="22">
        <v>0.58174158531159159</v>
      </c>
      <c r="AG82" s="22">
        <v>0.47606558480605726</v>
      </c>
      <c r="AH82" s="22">
        <v>0.47170415198165416</v>
      </c>
      <c r="AI82" s="22">
        <v>0.17436148342898547</v>
      </c>
      <c r="AJ82" s="22">
        <v>0.29524984365383072</v>
      </c>
      <c r="AK82" s="22"/>
      <c r="AL82" s="22">
        <v>0.18309469821825106</v>
      </c>
      <c r="AM82" s="22">
        <v>0.28019639388540574</v>
      </c>
      <c r="AN82" s="22">
        <v>0.1373136837082797</v>
      </c>
      <c r="AO82" s="22">
        <v>0.37177218586153316</v>
      </c>
    </row>
    <row r="83" spans="1:41" x14ac:dyDescent="0.75">
      <c r="A83" s="2" t="s">
        <v>95</v>
      </c>
      <c r="B83" s="2" t="s">
        <v>12</v>
      </c>
      <c r="C83" s="2" t="str">
        <f t="shared" si="1"/>
        <v>Pump Cast_150m_&gt;53 μm</v>
      </c>
      <c r="D83" s="4" t="s">
        <v>76</v>
      </c>
      <c r="E83" s="5" t="s">
        <v>77</v>
      </c>
      <c r="G83" s="4" t="s">
        <v>32</v>
      </c>
      <c r="I83" s="8">
        <v>150</v>
      </c>
      <c r="J83" s="4">
        <v>5300</v>
      </c>
      <c r="K83" s="9" t="s">
        <v>41</v>
      </c>
      <c r="L83" s="4" t="s">
        <v>12</v>
      </c>
      <c r="M83" s="4" t="s">
        <v>12</v>
      </c>
      <c r="N83" s="31">
        <v>10.394264763030524</v>
      </c>
      <c r="O83" s="30">
        <v>2.3594089852785802</v>
      </c>
      <c r="P83" s="32">
        <v>-3.3634487240159903</v>
      </c>
      <c r="Q83" s="32">
        <v>0.5291026832654665</v>
      </c>
      <c r="R83" s="32">
        <v>6.1127394555300656</v>
      </c>
      <c r="S83" s="32">
        <v>6.048864769158353</v>
      </c>
      <c r="T83" s="32">
        <v>5.6062614726849471</v>
      </c>
      <c r="U83" s="32">
        <v>4.9445878227204796</v>
      </c>
      <c r="V83" s="32">
        <v>5.556419140685116</v>
      </c>
      <c r="W83" s="32">
        <v>0.77510348452832689</v>
      </c>
      <c r="X83" s="32">
        <v>8.5332708296246391</v>
      </c>
      <c r="Y83" s="32">
        <v>-0.41752105189499139</v>
      </c>
      <c r="Z83" s="32">
        <v>1.5301589395597606</v>
      </c>
      <c r="AA83" s="32">
        <v>1.2962771629400851</v>
      </c>
      <c r="AB83" s="21">
        <v>0.4434477813129637</v>
      </c>
      <c r="AC83" s="22">
        <v>0.47757204145856225</v>
      </c>
      <c r="AD83" s="22">
        <v>0.41550541475720287</v>
      </c>
      <c r="AE83" s="22">
        <v>0.16609173372911035</v>
      </c>
      <c r="AF83" s="22">
        <v>0.79162790428013408</v>
      </c>
      <c r="AG83" s="22">
        <v>0.33024708690945753</v>
      </c>
      <c r="AH83" s="22">
        <v>0.10601588345854886</v>
      </c>
      <c r="AI83" s="22">
        <v>0.72628262827581713</v>
      </c>
      <c r="AJ83" s="22">
        <v>0.52634092356341167</v>
      </c>
      <c r="AK83" s="22">
        <v>0.19169095910274539</v>
      </c>
      <c r="AL83" s="22">
        <v>0.20246642473655951</v>
      </c>
      <c r="AM83" s="22">
        <v>1.0239491432064152</v>
      </c>
      <c r="AN83" s="22">
        <v>0.21015484772434034</v>
      </c>
      <c r="AO83" s="22">
        <v>0.6891308451222582</v>
      </c>
    </row>
    <row r="84" spans="1:41" x14ac:dyDescent="0.75">
      <c r="A84" s="2" t="s">
        <v>95</v>
      </c>
      <c r="B84" s="2" t="s">
        <v>12</v>
      </c>
      <c r="C84" s="2" t="str">
        <f t="shared" si="1"/>
        <v>Pump Cast_245m_&gt;53 μm</v>
      </c>
      <c r="D84" s="4" t="s">
        <v>76</v>
      </c>
      <c r="E84" s="5" t="s">
        <v>77</v>
      </c>
      <c r="G84" s="4" t="s">
        <v>32</v>
      </c>
      <c r="I84" s="10">
        <v>245</v>
      </c>
      <c r="J84" s="4">
        <v>5300</v>
      </c>
      <c r="K84" s="9" t="s">
        <v>41</v>
      </c>
      <c r="L84" s="4" t="s">
        <v>12</v>
      </c>
      <c r="M84" s="4" t="s">
        <v>12</v>
      </c>
      <c r="N84" s="31">
        <v>9.4215169668296532</v>
      </c>
      <c r="O84" s="32">
        <v>3.681744977854867</v>
      </c>
      <c r="P84" s="32">
        <v>-2.9458818313964708</v>
      </c>
      <c r="Q84" s="32">
        <v>0.92303474711788613</v>
      </c>
      <c r="R84" s="32">
        <v>6.1301972632418593</v>
      </c>
      <c r="S84" s="32">
        <v>5.8033922274732053</v>
      </c>
      <c r="T84" s="32">
        <v>5.7175541959263754</v>
      </c>
      <c r="U84" s="32">
        <v>5.9414570131539506</v>
      </c>
      <c r="V84" s="32">
        <v>5.4600401012858839</v>
      </c>
      <c r="W84" s="32"/>
      <c r="X84" s="32">
        <v>8.2926951423312794</v>
      </c>
      <c r="Y84" s="32">
        <v>0.38990817769148933</v>
      </c>
      <c r="Z84" s="32">
        <v>1.966535636645014</v>
      </c>
      <c r="AA84" s="32">
        <v>1.5502728933004462</v>
      </c>
      <c r="AB84" s="21">
        <v>3.5101679531837293E-2</v>
      </c>
      <c r="AC84" s="22">
        <v>0.11261788849797741</v>
      </c>
      <c r="AD84" s="22">
        <v>0.45120283898215241</v>
      </c>
      <c r="AE84" s="22">
        <v>6.5815649122197284E-3</v>
      </c>
      <c r="AF84" s="22">
        <v>3.1445254580604216E-2</v>
      </c>
      <c r="AG84" s="22">
        <v>0.26984416140099787</v>
      </c>
      <c r="AH84" s="22">
        <v>0.25521846159606554</v>
      </c>
      <c r="AI84" s="22">
        <v>5.5577659258741648E-2</v>
      </c>
      <c r="AJ84" s="22">
        <v>0.20841622222028292</v>
      </c>
      <c r="AK84" s="22"/>
      <c r="AL84" s="22">
        <v>0.21572907212274844</v>
      </c>
      <c r="AM84" s="22">
        <v>0.27642572631321766</v>
      </c>
      <c r="AN84" s="22">
        <v>6.2159224170961536E-2</v>
      </c>
      <c r="AO84" s="22">
        <v>1.755083976591849E-2</v>
      </c>
    </row>
    <row r="85" spans="1:41" x14ac:dyDescent="0.75">
      <c r="A85" s="2" t="s">
        <v>95</v>
      </c>
      <c r="B85" s="2" t="s">
        <v>12</v>
      </c>
      <c r="C85" s="2" t="str">
        <f t="shared" si="1"/>
        <v>Pump Cast_400m_&gt;53 μm</v>
      </c>
      <c r="D85" s="4" t="s">
        <v>76</v>
      </c>
      <c r="E85" s="5" t="s">
        <v>77</v>
      </c>
      <c r="G85" s="4" t="s">
        <v>32</v>
      </c>
      <c r="I85" s="10">
        <v>400</v>
      </c>
      <c r="J85" s="4">
        <v>5300</v>
      </c>
      <c r="K85" s="9" t="s">
        <v>41</v>
      </c>
      <c r="L85" s="4" t="s">
        <v>12</v>
      </c>
      <c r="M85" s="4" t="s">
        <v>12</v>
      </c>
      <c r="N85" s="31">
        <v>11.065151708718272</v>
      </c>
      <c r="O85" s="32">
        <v>3.9978206317886613</v>
      </c>
      <c r="P85" s="32">
        <v>-3.9677563613933926</v>
      </c>
      <c r="Q85" s="32">
        <v>2.5105020649121159</v>
      </c>
      <c r="R85" s="32">
        <v>9.3277212143317545</v>
      </c>
      <c r="S85" s="32">
        <v>8.754569446156955</v>
      </c>
      <c r="T85" s="32">
        <v>8.999545605134891</v>
      </c>
      <c r="U85" s="32">
        <v>7.934900788444601</v>
      </c>
      <c r="V85" s="32">
        <v>7.92976501991257</v>
      </c>
      <c r="W85" s="32"/>
      <c r="X85" s="32">
        <v>12.143149523591847</v>
      </c>
      <c r="Y85" s="32">
        <v>1.5617544247613537</v>
      </c>
      <c r="Z85" s="32">
        <v>3.1231992507835655</v>
      </c>
      <c r="AA85" s="32">
        <v>0.8965012075787735</v>
      </c>
      <c r="AB85" s="21">
        <v>0.4917100767088492</v>
      </c>
      <c r="AC85" s="22">
        <v>0.54589233452489438</v>
      </c>
      <c r="AD85" s="22">
        <v>0.12783009379727864</v>
      </c>
      <c r="AE85" s="22">
        <v>0.65435173321482909</v>
      </c>
      <c r="AF85" s="22">
        <v>0.1147565614771015</v>
      </c>
      <c r="AG85" s="22">
        <v>0.2691201516652319</v>
      </c>
      <c r="AH85" s="22">
        <v>0.16922961281116888</v>
      </c>
      <c r="AI85" s="22">
        <v>0.43261099816492682</v>
      </c>
      <c r="AJ85" s="22">
        <v>0.22111496588440857</v>
      </c>
      <c r="AK85" s="22"/>
      <c r="AL85" s="22">
        <v>0.19353876429015446</v>
      </c>
      <c r="AM85" s="22">
        <v>0.35701583481458404</v>
      </c>
      <c r="AN85" s="22">
        <v>0.20699759506945672</v>
      </c>
      <c r="AO85" s="22">
        <v>0.37880717550617482</v>
      </c>
    </row>
    <row r="86" spans="1:41" x14ac:dyDescent="0.75">
      <c r="A86" s="2" t="s">
        <v>95</v>
      </c>
      <c r="B86" s="2" t="s">
        <v>12</v>
      </c>
      <c r="C86" s="2" t="str">
        <f t="shared" si="1"/>
        <v>Pump Cast_600m_&gt;53 μm</v>
      </c>
      <c r="D86" s="4" t="s">
        <v>76</v>
      </c>
      <c r="E86" s="5" t="s">
        <v>77</v>
      </c>
      <c r="G86" s="4" t="s">
        <v>32</v>
      </c>
      <c r="I86" s="8">
        <v>600</v>
      </c>
      <c r="J86" s="4">
        <v>5300</v>
      </c>
      <c r="K86" s="9" t="s">
        <v>41</v>
      </c>
      <c r="L86" s="4" t="s">
        <v>12</v>
      </c>
      <c r="M86" s="4" t="s">
        <v>12</v>
      </c>
      <c r="N86" s="31">
        <v>9.9185661763503052</v>
      </c>
      <c r="O86" s="30">
        <v>2.6139145938980692</v>
      </c>
      <c r="P86" s="32">
        <v>-4.8145504879923333</v>
      </c>
      <c r="Q86" s="32">
        <v>2.273513691543001</v>
      </c>
      <c r="R86" s="32">
        <v>8.1667258688401017</v>
      </c>
      <c r="S86" s="32">
        <v>8.4962629126093692</v>
      </c>
      <c r="T86" s="32">
        <v>8.7404410674902095</v>
      </c>
      <c r="U86" s="32">
        <v>8.5514444165372439</v>
      </c>
      <c r="V86" s="32">
        <v>8.7742397386460311</v>
      </c>
      <c r="W86" s="32"/>
      <c r="X86" s="32">
        <v>12.181352721792663</v>
      </c>
      <c r="Y86" s="32">
        <v>2.8672321853669631</v>
      </c>
      <c r="Z86" s="32">
        <v>4.6080361920915935</v>
      </c>
      <c r="AA86" s="32">
        <v>2.8256736152212838</v>
      </c>
      <c r="AB86" s="21">
        <v>0.30519521852244641</v>
      </c>
      <c r="AC86" s="22">
        <v>0.69763891170679215</v>
      </c>
      <c r="AD86" s="22">
        <v>5.8528823435199029E-3</v>
      </c>
      <c r="AE86" s="22">
        <v>0.25092491058113453</v>
      </c>
      <c r="AF86" s="22">
        <v>1.0952206085313114</v>
      </c>
      <c r="AG86" s="22">
        <v>0.23287513037187696</v>
      </c>
      <c r="AH86" s="22">
        <v>0.21363020553850504</v>
      </c>
      <c r="AI86" s="22">
        <v>0.82510354507368522</v>
      </c>
      <c r="AJ86" s="22">
        <v>5.5528530425230697E-2</v>
      </c>
      <c r="AK86" s="22"/>
      <c r="AL86" s="22">
        <v>0.33396120026320686</v>
      </c>
      <c r="AM86" s="22">
        <v>0.18802384528560287</v>
      </c>
      <c r="AN86" s="22">
        <v>0.52822263150274329</v>
      </c>
      <c r="AO86" s="22">
        <v>0.28489685130611109</v>
      </c>
    </row>
    <row r="87" spans="1:41" x14ac:dyDescent="0.75">
      <c r="A87" s="2" t="s">
        <v>95</v>
      </c>
      <c r="B87" s="2" t="s">
        <v>12</v>
      </c>
      <c r="C87" s="2" t="str">
        <f t="shared" si="1"/>
        <v>Pump Cast_1200m_&gt;53 μm</v>
      </c>
      <c r="D87" s="4" t="s">
        <v>76</v>
      </c>
      <c r="E87" s="5" t="s">
        <v>77</v>
      </c>
      <c r="G87" s="4" t="s">
        <v>32</v>
      </c>
      <c r="I87" s="8">
        <v>1200</v>
      </c>
      <c r="J87" s="4">
        <v>5300</v>
      </c>
      <c r="K87" s="9" t="s">
        <v>41</v>
      </c>
      <c r="L87" s="4" t="s">
        <v>12</v>
      </c>
      <c r="M87" s="4" t="s">
        <v>12</v>
      </c>
      <c r="N87" s="31">
        <v>10.639226793484141</v>
      </c>
      <c r="O87" s="30">
        <v>3.8087447941096411</v>
      </c>
      <c r="P87" s="32">
        <v>-3.7219955816340469</v>
      </c>
      <c r="Q87" s="32">
        <v>3.3419058765301828</v>
      </c>
      <c r="R87" s="32">
        <v>7.2719063449391541</v>
      </c>
      <c r="S87" s="32">
        <v>7.4888370119379966</v>
      </c>
      <c r="T87" s="32">
        <v>6.8627781986277956</v>
      </c>
      <c r="U87" s="32">
        <v>6.6870695111061682</v>
      </c>
      <c r="V87" s="32">
        <v>7.2430509593051031</v>
      </c>
      <c r="W87" s="32"/>
      <c r="X87" s="32">
        <v>10.343974365478591</v>
      </c>
      <c r="Y87" s="32">
        <v>2.7256372833458213</v>
      </c>
      <c r="Z87" s="32">
        <v>4.0983291999370755</v>
      </c>
      <c r="AA87" s="32">
        <v>1.3385176739375408</v>
      </c>
      <c r="AB87" s="21">
        <v>0.28856857810048531</v>
      </c>
      <c r="AC87" s="22">
        <v>0.34540784348391546</v>
      </c>
      <c r="AD87" s="22">
        <v>0.23683027243095434</v>
      </c>
      <c r="AE87" s="22">
        <v>0.27982407573380419</v>
      </c>
      <c r="AF87" s="22">
        <v>6.558376775010059E-3</v>
      </c>
      <c r="AG87" s="22">
        <v>0.3148020852005306</v>
      </c>
      <c r="AH87" s="22">
        <v>0.20622451414756882</v>
      </c>
      <c r="AI87" s="22">
        <v>1.0872331275907252</v>
      </c>
      <c r="AJ87" s="22">
        <v>0.16833167055861623</v>
      </c>
      <c r="AK87" s="22"/>
      <c r="AL87" s="22">
        <v>4.0078969180622405E-2</v>
      </c>
      <c r="AM87" s="22">
        <v>0.2463034833281928</v>
      </c>
      <c r="AN87" s="22">
        <v>0.7330807817401197</v>
      </c>
      <c r="AO87" s="22">
        <v>1.6031587672248993E-2</v>
      </c>
    </row>
    <row r="88" spans="1:41" x14ac:dyDescent="0.75">
      <c r="A88" s="2" t="s">
        <v>96</v>
      </c>
      <c r="B88" s="2" t="s">
        <v>96</v>
      </c>
      <c r="C88" s="2" t="str">
        <f t="shared" si="1"/>
        <v>Day_1250m_0.06-0.2 mm</v>
      </c>
      <c r="D88" s="4" t="s">
        <v>76</v>
      </c>
      <c r="E88" s="5" t="s">
        <v>77</v>
      </c>
      <c r="G88" s="6" t="s">
        <v>5</v>
      </c>
      <c r="H88" s="6">
        <v>1</v>
      </c>
      <c r="I88" s="6">
        <v>1250</v>
      </c>
      <c r="J88" s="11">
        <v>60</v>
      </c>
      <c r="K88" s="11" t="s">
        <v>22</v>
      </c>
      <c r="L88" s="4" t="s">
        <v>23</v>
      </c>
      <c r="M88" s="4" t="s">
        <v>23</v>
      </c>
      <c r="N88" s="27"/>
      <c r="O88" s="27">
        <v>9.3079999999999998</v>
      </c>
      <c r="P88" s="27">
        <v>-14.028500000000001</v>
      </c>
      <c r="Q88" s="27">
        <v>4.6772499999999999</v>
      </c>
      <c r="R88" s="27"/>
      <c r="S88" s="27">
        <v>16.42925</v>
      </c>
      <c r="T88" s="27"/>
      <c r="U88" s="27">
        <v>10.818999999999999</v>
      </c>
      <c r="V88" s="27">
        <v>11.549499999999998</v>
      </c>
      <c r="W88" s="27"/>
      <c r="X88" s="27">
        <v>15.388249999999999</v>
      </c>
      <c r="Y88" s="27">
        <v>0.63649999999999995</v>
      </c>
      <c r="Z88" s="27">
        <v>5.0564999999999998</v>
      </c>
      <c r="AA88" s="27">
        <v>1.5169999999999999</v>
      </c>
      <c r="AB88" s="16"/>
      <c r="AC88" s="16">
        <v>0.65196676806925224</v>
      </c>
      <c r="AD88" s="16">
        <v>0.62118730401278077</v>
      </c>
      <c r="AE88" s="16">
        <v>0.36174058384427926</v>
      </c>
      <c r="AF88" s="16"/>
      <c r="AG88" s="16">
        <v>0.69914155695872326</v>
      </c>
      <c r="AH88" s="16"/>
      <c r="AI88" s="16">
        <v>0.11024518130058994</v>
      </c>
      <c r="AJ88" s="16">
        <v>0.14574978559160873</v>
      </c>
      <c r="AK88" s="16"/>
      <c r="AL88" s="16">
        <v>0.59552742730009234</v>
      </c>
      <c r="AM88" s="16">
        <v>0.58491965260196233</v>
      </c>
      <c r="AN88" s="16">
        <v>0.26367720164372688</v>
      </c>
      <c r="AO88" s="16">
        <v>0.23016660632391309</v>
      </c>
    </row>
    <row r="89" spans="1:41" x14ac:dyDescent="0.75">
      <c r="A89" s="2" t="s">
        <v>96</v>
      </c>
      <c r="B89" s="2" t="s">
        <v>96</v>
      </c>
      <c r="C89" s="2" t="str">
        <f t="shared" si="1"/>
        <v>Day_25m_0.2-0.5 mm</v>
      </c>
      <c r="D89" s="4" t="s">
        <v>76</v>
      </c>
      <c r="E89" s="5" t="s">
        <v>77</v>
      </c>
      <c r="G89" s="6" t="s">
        <v>5</v>
      </c>
      <c r="H89" s="7">
        <v>9</v>
      </c>
      <c r="I89" s="7">
        <v>25</v>
      </c>
      <c r="J89" s="12">
        <v>200</v>
      </c>
      <c r="K89" s="12" t="s">
        <v>8</v>
      </c>
      <c r="L89" s="4" t="s">
        <v>23</v>
      </c>
      <c r="M89" s="4" t="s">
        <v>23</v>
      </c>
      <c r="N89" s="27">
        <v>9.3367916666666666</v>
      </c>
      <c r="O89" s="27">
        <v>2.2975416666666666</v>
      </c>
      <c r="P89" s="27">
        <v>-9.8241249999999987</v>
      </c>
      <c r="Q89" s="27">
        <v>1.9161250000000001</v>
      </c>
      <c r="R89" s="27">
        <v>8.5657083333333333</v>
      </c>
      <c r="S89" s="27">
        <v>4.6575000000000006</v>
      </c>
      <c r="T89" s="27">
        <v>5.1099999999999994</v>
      </c>
      <c r="U89" s="27">
        <v>4.5322499999999994</v>
      </c>
      <c r="V89" s="27">
        <v>6.0867916666666666</v>
      </c>
      <c r="W89" s="27">
        <v>1.0800416666666668</v>
      </c>
      <c r="X89" s="27">
        <v>8.7176250000000017</v>
      </c>
      <c r="Y89" s="27">
        <v>-3.4277916666666668</v>
      </c>
      <c r="Z89" s="27">
        <v>0.56887500000000002</v>
      </c>
      <c r="AA89" s="27">
        <v>-1.9210833333333333</v>
      </c>
      <c r="AB89" s="16">
        <v>0.4025637630653473</v>
      </c>
      <c r="AC89" s="16">
        <v>0.26589142520961451</v>
      </c>
      <c r="AD89" s="16">
        <v>0.74949043800882853</v>
      </c>
      <c r="AE89" s="16">
        <v>0.63651754361787538</v>
      </c>
      <c r="AF89" s="16">
        <v>0.94896219629656464</v>
      </c>
      <c r="AG89" s="16">
        <v>0.23473318186116504</v>
      </c>
      <c r="AH89" s="16">
        <v>0.59299297353903502</v>
      </c>
      <c r="AI89" s="16">
        <v>0.2579431461905255</v>
      </c>
      <c r="AJ89" s="16">
        <v>0.22927258158503488</v>
      </c>
      <c r="AK89" s="16">
        <v>0.53403487713818787</v>
      </c>
      <c r="AL89" s="16">
        <v>0.30428372176857121</v>
      </c>
      <c r="AM89" s="16">
        <v>0.6755567457043562</v>
      </c>
      <c r="AN89" s="16">
        <v>0.88465073145658235</v>
      </c>
      <c r="AO89" s="16">
        <v>0.58554134496777233</v>
      </c>
    </row>
    <row r="90" spans="1:41" x14ac:dyDescent="0.75">
      <c r="A90" s="2" t="s">
        <v>96</v>
      </c>
      <c r="B90" s="2" t="s">
        <v>96</v>
      </c>
      <c r="C90" s="2" t="str">
        <f t="shared" si="1"/>
        <v>Day_125m_0.2-0.5 mm</v>
      </c>
      <c r="D90" s="4" t="s">
        <v>76</v>
      </c>
      <c r="E90" s="5" t="s">
        <v>77</v>
      </c>
      <c r="G90" s="6" t="s">
        <v>5</v>
      </c>
      <c r="H90" s="7">
        <v>7</v>
      </c>
      <c r="I90" s="7">
        <v>125</v>
      </c>
      <c r="J90" s="12">
        <v>200</v>
      </c>
      <c r="K90" s="12" t="s">
        <v>8</v>
      </c>
      <c r="L90" s="4" t="s">
        <v>23</v>
      </c>
      <c r="M90" s="4" t="s">
        <v>23</v>
      </c>
      <c r="N90" s="27">
        <v>11.911</v>
      </c>
      <c r="O90" s="27">
        <v>2.423</v>
      </c>
      <c r="P90" s="27">
        <v>-11.825166666666666</v>
      </c>
      <c r="Q90" s="27">
        <v>3.1005000000000003</v>
      </c>
      <c r="R90" s="27">
        <v>10.487500000000001</v>
      </c>
      <c r="S90" s="27">
        <v>8.5126666666666679</v>
      </c>
      <c r="T90" s="27">
        <v>8.3708333333333336</v>
      </c>
      <c r="U90" s="27">
        <v>7.7736666666666672</v>
      </c>
      <c r="V90" s="27">
        <v>8.4118333333333339</v>
      </c>
      <c r="W90" s="27">
        <v>3.6901666666666673</v>
      </c>
      <c r="X90" s="27">
        <v>11.419833333333335</v>
      </c>
      <c r="Y90" s="27">
        <v>-2.8503333333333334</v>
      </c>
      <c r="Z90" s="27">
        <v>4.136333333333333</v>
      </c>
      <c r="AA90" s="27">
        <v>3.0500000000000027E-2</v>
      </c>
      <c r="AB90" s="16">
        <v>0.26403156376968778</v>
      </c>
      <c r="AC90" s="16">
        <v>0.22489553130286949</v>
      </c>
      <c r="AD90" s="16">
        <v>0.75840973974055359</v>
      </c>
      <c r="AE90" s="16">
        <v>0.28992412800593176</v>
      </c>
      <c r="AF90" s="16">
        <v>0.55506936503467796</v>
      </c>
      <c r="AG90" s="16">
        <v>0.4019162433476251</v>
      </c>
      <c r="AH90" s="16">
        <v>0.44238595517187662</v>
      </c>
      <c r="AI90" s="16">
        <v>0.27054266453432696</v>
      </c>
      <c r="AJ90" s="16">
        <v>0.6353230149564344</v>
      </c>
      <c r="AK90" s="16">
        <v>0.54597588469334035</v>
      </c>
      <c r="AL90" s="16">
        <v>0.42350718215082706</v>
      </c>
      <c r="AM90" s="16">
        <v>0.37836137928352759</v>
      </c>
      <c r="AN90" s="16">
        <v>0.9519467772237421</v>
      </c>
      <c r="AO90" s="16">
        <v>0.94339740654014248</v>
      </c>
    </row>
    <row r="91" spans="1:41" x14ac:dyDescent="0.75">
      <c r="A91" s="2" t="s">
        <v>96</v>
      </c>
      <c r="B91" s="2" t="s">
        <v>96</v>
      </c>
      <c r="C91" s="2" t="str">
        <f t="shared" si="1"/>
        <v>Day_400m_0.2-0.5 mm</v>
      </c>
      <c r="D91" s="4" t="s">
        <v>76</v>
      </c>
      <c r="E91" s="5" t="s">
        <v>77</v>
      </c>
      <c r="G91" s="6" t="s">
        <v>5</v>
      </c>
      <c r="H91" s="7">
        <v>4</v>
      </c>
      <c r="I91" s="7">
        <v>400</v>
      </c>
      <c r="J91" s="12">
        <v>200</v>
      </c>
      <c r="K91" s="12" t="s">
        <v>8</v>
      </c>
      <c r="L91" s="4" t="s">
        <v>23</v>
      </c>
      <c r="M91" s="4" t="s">
        <v>23</v>
      </c>
      <c r="N91" s="27">
        <v>15.297833333333331</v>
      </c>
      <c r="O91" s="27">
        <v>3.6575000000000002</v>
      </c>
      <c r="P91" s="27">
        <v>-12.695333333333332</v>
      </c>
      <c r="Q91" s="27">
        <v>4.7799999999999994</v>
      </c>
      <c r="R91" s="27">
        <v>13.186499999999999</v>
      </c>
      <c r="S91" s="27">
        <v>10.426</v>
      </c>
      <c r="T91" s="27">
        <v>11.138000000000002</v>
      </c>
      <c r="U91" s="27">
        <v>8.7505000000000006</v>
      </c>
      <c r="V91" s="27">
        <v>10.630500000000001</v>
      </c>
      <c r="W91" s="27">
        <v>4.325166666666667</v>
      </c>
      <c r="X91" s="27">
        <v>13.41</v>
      </c>
      <c r="Y91" s="27">
        <v>-2.2149999999999999</v>
      </c>
      <c r="Z91" s="27">
        <v>2.9363333333333337</v>
      </c>
      <c r="AA91" s="27">
        <v>-0.66633333333333333</v>
      </c>
      <c r="AB91" s="16">
        <v>0.28245117572187012</v>
      </c>
      <c r="AC91" s="16">
        <v>0.2973398728727783</v>
      </c>
      <c r="AD91" s="16">
        <v>0.5289410805247271</v>
      </c>
      <c r="AE91" s="16">
        <v>0.88485139995368556</v>
      </c>
      <c r="AF91" s="16">
        <v>0.78423062084227946</v>
      </c>
      <c r="AG91" s="16">
        <v>0.24715716996815357</v>
      </c>
      <c r="AH91" s="16">
        <v>0.47728887129983072</v>
      </c>
      <c r="AI91" s="16">
        <v>0.12876334882255899</v>
      </c>
      <c r="AJ91" s="16">
        <v>0.45675157361524144</v>
      </c>
      <c r="AK91" s="16">
        <v>0.56580355837222029</v>
      </c>
      <c r="AL91" s="16">
        <v>0.3780683359746842</v>
      </c>
      <c r="AM91" s="16">
        <v>0.72438594685429925</v>
      </c>
      <c r="AN91" s="16">
        <v>0.79191497860144833</v>
      </c>
      <c r="AO91" s="16">
        <v>1.0107594504463795</v>
      </c>
    </row>
    <row r="92" spans="1:41" x14ac:dyDescent="0.75">
      <c r="A92" s="2" t="s">
        <v>96</v>
      </c>
      <c r="B92" s="2" t="s">
        <v>96</v>
      </c>
      <c r="C92" s="2" t="str">
        <f t="shared" si="1"/>
        <v>Day_850m_0.2-0.5 mm</v>
      </c>
      <c r="D92" s="4" t="s">
        <v>76</v>
      </c>
      <c r="E92" s="5" t="s">
        <v>77</v>
      </c>
      <c r="G92" s="6" t="s">
        <v>5</v>
      </c>
      <c r="H92" s="7">
        <v>2</v>
      </c>
      <c r="I92" s="7">
        <v>850</v>
      </c>
      <c r="J92" s="12">
        <v>200</v>
      </c>
      <c r="K92" s="12" t="s">
        <v>8</v>
      </c>
      <c r="L92" s="4" t="s">
        <v>23</v>
      </c>
      <c r="M92" s="4" t="s">
        <v>23</v>
      </c>
      <c r="N92" s="27">
        <v>17.252208333333336</v>
      </c>
      <c r="O92" s="27">
        <v>5.2276249999999997</v>
      </c>
      <c r="P92" s="27">
        <v>-14.212541666666667</v>
      </c>
      <c r="Q92" s="27">
        <v>7.5620416666666666</v>
      </c>
      <c r="R92" s="27">
        <v>17.354750000000003</v>
      </c>
      <c r="S92" s="27">
        <v>14.249583333333334</v>
      </c>
      <c r="T92" s="27">
        <v>13.649666666666665</v>
      </c>
      <c r="U92" s="27">
        <v>13.213583333333332</v>
      </c>
      <c r="V92" s="27">
        <v>12.310375000000001</v>
      </c>
      <c r="W92" s="27">
        <v>8.152333333333333</v>
      </c>
      <c r="X92" s="27">
        <v>14.214666666666666</v>
      </c>
      <c r="Y92" s="27">
        <v>0.51570833333333344</v>
      </c>
      <c r="Z92" s="27">
        <v>7.817166666666667</v>
      </c>
      <c r="AA92" s="27">
        <v>1.9035</v>
      </c>
      <c r="AB92" s="16">
        <v>0.7241288444284848</v>
      </c>
      <c r="AC92" s="16">
        <v>0.33758542128869667</v>
      </c>
      <c r="AD92" s="16">
        <v>0.60509165972327472</v>
      </c>
      <c r="AE92" s="16">
        <v>0.94432228785162819</v>
      </c>
      <c r="AF92" s="16">
        <v>0.93776845045387647</v>
      </c>
      <c r="AG92" s="16">
        <v>0.81253389672882725</v>
      </c>
      <c r="AH92" s="16">
        <v>0.86844036448490092</v>
      </c>
      <c r="AI92" s="16">
        <v>0.31403715279140665</v>
      </c>
      <c r="AJ92" s="16">
        <v>0.43550574049029489</v>
      </c>
      <c r="AK92" s="16">
        <v>0.6682472097460137</v>
      </c>
      <c r="AL92" s="16">
        <v>0.44423304694720789</v>
      </c>
      <c r="AM92" s="16">
        <v>0.49844683768682885</v>
      </c>
      <c r="AN92" s="16">
        <v>0.68272517652908271</v>
      </c>
      <c r="AO92" s="16">
        <v>0.56740403006440987</v>
      </c>
    </row>
    <row r="93" spans="1:41" x14ac:dyDescent="0.75">
      <c r="A93" s="2" t="s">
        <v>96</v>
      </c>
      <c r="B93" s="2" t="s">
        <v>96</v>
      </c>
      <c r="C93" s="2" t="str">
        <f t="shared" si="1"/>
        <v>Day_1250m_0.2-0.5 mm</v>
      </c>
      <c r="D93" s="4" t="s">
        <v>76</v>
      </c>
      <c r="E93" s="5" t="s">
        <v>77</v>
      </c>
      <c r="G93" s="6" t="s">
        <v>5</v>
      </c>
      <c r="H93" s="7">
        <v>1</v>
      </c>
      <c r="I93" s="7">
        <v>1250</v>
      </c>
      <c r="J93" s="12">
        <v>200</v>
      </c>
      <c r="K93" s="12" t="s">
        <v>8</v>
      </c>
      <c r="L93" s="4" t="s">
        <v>23</v>
      </c>
      <c r="M93" s="4" t="s">
        <v>23</v>
      </c>
      <c r="N93" s="27">
        <v>20.143124999999998</v>
      </c>
      <c r="O93" s="27">
        <v>8.7416249999999991</v>
      </c>
      <c r="P93" s="27">
        <v>-17.37125</v>
      </c>
      <c r="Q93" s="27">
        <v>7.4427500000000002</v>
      </c>
      <c r="R93" s="27">
        <v>19.060999999999996</v>
      </c>
      <c r="S93" s="27">
        <v>16.488500000000002</v>
      </c>
      <c r="T93" s="27">
        <v>16.418999999999997</v>
      </c>
      <c r="U93" s="27">
        <v>13.219624999999999</v>
      </c>
      <c r="V93" s="27">
        <v>13.120749999999999</v>
      </c>
      <c r="W93" s="27">
        <v>3.2462499999999999</v>
      </c>
      <c r="X93" s="27">
        <v>14.944375000000001</v>
      </c>
      <c r="Y93" s="27">
        <v>7.1124999999999994E-2</v>
      </c>
      <c r="Z93" s="27">
        <v>7.858625</v>
      </c>
      <c r="AA93" s="27">
        <v>3.0756249999999996</v>
      </c>
      <c r="AB93" s="16">
        <v>0.77458757843556136</v>
      </c>
      <c r="AC93" s="16">
        <v>0.31218677635885456</v>
      </c>
      <c r="AD93" s="16">
        <v>0.89864101100866001</v>
      </c>
      <c r="AE93" s="16">
        <v>0.68802204422048385</v>
      </c>
      <c r="AF93" s="16">
        <v>0.78903981733074435</v>
      </c>
      <c r="AG93" s="16">
        <v>0.88470635429691147</v>
      </c>
      <c r="AH93" s="16">
        <v>0.65529789663429583</v>
      </c>
      <c r="AI93" s="16">
        <v>0.30198385718445303</v>
      </c>
      <c r="AJ93" s="16">
        <v>0.55716634260634712</v>
      </c>
      <c r="AK93" s="16">
        <v>0.81537614019543159</v>
      </c>
      <c r="AL93" s="16">
        <v>0.6216769659557928</v>
      </c>
      <c r="AM93" s="16">
        <v>0.23480399627490731</v>
      </c>
      <c r="AN93" s="16">
        <v>1.0385033702400812</v>
      </c>
      <c r="AO93" s="16">
        <v>0.75625585397183381</v>
      </c>
    </row>
    <row r="94" spans="1:41" x14ac:dyDescent="0.75">
      <c r="A94" s="2" t="s">
        <v>96</v>
      </c>
      <c r="B94" s="2" t="s">
        <v>96</v>
      </c>
      <c r="C94" s="2" t="str">
        <f t="shared" si="1"/>
        <v>Night_25m_0.2-0.5 mm</v>
      </c>
      <c r="D94" s="4" t="s">
        <v>76</v>
      </c>
      <c r="E94" s="5" t="s">
        <v>77</v>
      </c>
      <c r="G94" s="6" t="s">
        <v>6</v>
      </c>
      <c r="H94" s="7">
        <v>9</v>
      </c>
      <c r="I94" s="7">
        <v>25</v>
      </c>
      <c r="J94" s="12">
        <v>200</v>
      </c>
      <c r="K94" s="12" t="s">
        <v>8</v>
      </c>
      <c r="L94" s="4" t="s">
        <v>23</v>
      </c>
      <c r="M94" s="4" t="s">
        <v>23</v>
      </c>
      <c r="N94" s="27">
        <v>9.8448333333333338</v>
      </c>
      <c r="O94" s="27">
        <v>2.472</v>
      </c>
      <c r="P94" s="27">
        <v>-11.165666666666667</v>
      </c>
      <c r="Q94" s="27">
        <v>1.8763333333333332</v>
      </c>
      <c r="R94" s="27">
        <v>9.1361666666666661</v>
      </c>
      <c r="S94" s="27">
        <v>5.6404999999999994</v>
      </c>
      <c r="T94" s="27">
        <v>6.6748333333333338</v>
      </c>
      <c r="U94" s="27">
        <v>4.4108333333333336</v>
      </c>
      <c r="V94" s="27">
        <v>5.8923333333333332</v>
      </c>
      <c r="W94" s="27">
        <v>0.95683333333333342</v>
      </c>
      <c r="X94" s="27">
        <v>8.2943333333333342</v>
      </c>
      <c r="Y94" s="27">
        <v>-2.7871666666666668</v>
      </c>
      <c r="Z94" s="27">
        <v>0.35616666666666669</v>
      </c>
      <c r="AA94" s="27">
        <v>-2.3426666666666667</v>
      </c>
      <c r="AB94" s="16">
        <v>0.44047550064296048</v>
      </c>
      <c r="AC94" s="16">
        <v>0.19154285856347314</v>
      </c>
      <c r="AD94" s="16">
        <v>0.74296253831087178</v>
      </c>
      <c r="AE94" s="16">
        <v>0.31606750333855349</v>
      </c>
      <c r="AF94" s="16">
        <v>0.8176445845638961</v>
      </c>
      <c r="AG94" s="16">
        <v>0.26579879608455714</v>
      </c>
      <c r="AH94" s="16">
        <v>0.39363604171027478</v>
      </c>
      <c r="AI94" s="16">
        <v>0.59210415750384182</v>
      </c>
      <c r="AJ94" s="16">
        <v>0.1792688855695076</v>
      </c>
      <c r="AK94" s="16">
        <v>0.4983837209754482</v>
      </c>
      <c r="AL94" s="16">
        <v>0.46559281208655562</v>
      </c>
      <c r="AM94" s="16">
        <v>0.82494323037002637</v>
      </c>
      <c r="AN94" s="16">
        <v>0.77260684266535795</v>
      </c>
      <c r="AO94" s="16">
        <v>0.74110885390294001</v>
      </c>
    </row>
    <row r="95" spans="1:41" x14ac:dyDescent="0.75">
      <c r="A95" s="2" t="s">
        <v>96</v>
      </c>
      <c r="B95" s="2" t="s">
        <v>96</v>
      </c>
      <c r="C95" s="2" t="str">
        <f t="shared" si="1"/>
        <v>Night_125m_0.2-0.5 mm</v>
      </c>
      <c r="D95" s="4" t="s">
        <v>76</v>
      </c>
      <c r="E95" s="5" t="s">
        <v>77</v>
      </c>
      <c r="G95" s="6" t="s">
        <v>6</v>
      </c>
      <c r="H95" s="7">
        <v>7</v>
      </c>
      <c r="I95" s="7">
        <v>125</v>
      </c>
      <c r="J95" s="12">
        <v>200</v>
      </c>
      <c r="K95" s="12" t="s">
        <v>8</v>
      </c>
      <c r="L95" s="4" t="s">
        <v>23</v>
      </c>
      <c r="M95" s="4" t="s">
        <v>23</v>
      </c>
      <c r="N95" s="27">
        <v>11.640833333333333</v>
      </c>
      <c r="O95" s="27">
        <v>2.7428333333333335</v>
      </c>
      <c r="P95" s="27">
        <v>-12.053666666666668</v>
      </c>
      <c r="Q95" s="27">
        <v>3.1381666666666668</v>
      </c>
      <c r="R95" s="27">
        <v>11.915000000000003</v>
      </c>
      <c r="S95" s="27">
        <v>8.4951666666666661</v>
      </c>
      <c r="T95" s="27">
        <v>9.4058333333333337</v>
      </c>
      <c r="U95" s="27">
        <v>6.6091666666666669</v>
      </c>
      <c r="V95" s="27">
        <v>8.6355000000000004</v>
      </c>
      <c r="W95" s="27">
        <v>2.5249999999999999</v>
      </c>
      <c r="X95" s="27">
        <v>12.179833333333333</v>
      </c>
      <c r="Y95" s="27">
        <v>-1.9095</v>
      </c>
      <c r="Z95" s="27">
        <v>1.6</v>
      </c>
      <c r="AA95" s="27">
        <v>-0.71966666666666657</v>
      </c>
      <c r="AB95" s="16">
        <v>0.27105288536864258</v>
      </c>
      <c r="AC95" s="16">
        <v>0.42240462434337256</v>
      </c>
      <c r="AD95" s="16">
        <v>0.69947718571325335</v>
      </c>
      <c r="AE95" s="16">
        <v>0.62035742385606218</v>
      </c>
      <c r="AF95" s="16">
        <v>0.58273893525889142</v>
      </c>
      <c r="AG95" s="16">
        <v>0.25733570810648587</v>
      </c>
      <c r="AH95" s="16">
        <v>0.83661301288787837</v>
      </c>
      <c r="AI95" s="16">
        <v>0.15827718302606572</v>
      </c>
      <c r="AJ95" s="16">
        <v>6.2503333244449052E-2</v>
      </c>
      <c r="AK95" s="16">
        <v>1.0059582496306667</v>
      </c>
      <c r="AL95" s="16">
        <v>0.38317663463908275</v>
      </c>
      <c r="AM95" s="16">
        <v>0.34014702703389865</v>
      </c>
      <c r="AN95" s="16">
        <v>0.45871450816384701</v>
      </c>
      <c r="AO95" s="16">
        <v>0.33074965356494895</v>
      </c>
    </row>
    <row r="96" spans="1:41" x14ac:dyDescent="0.75">
      <c r="A96" s="2" t="s">
        <v>96</v>
      </c>
      <c r="B96" s="2" t="s">
        <v>96</v>
      </c>
      <c r="C96" s="2" t="str">
        <f t="shared" si="1"/>
        <v>Night_400m_0.2-0.5 mm</v>
      </c>
      <c r="D96" s="4" t="s">
        <v>76</v>
      </c>
      <c r="E96" s="5" t="s">
        <v>77</v>
      </c>
      <c r="G96" s="6" t="s">
        <v>6</v>
      </c>
      <c r="H96" s="7">
        <v>4</v>
      </c>
      <c r="I96" s="7">
        <v>400</v>
      </c>
      <c r="J96" s="12">
        <v>200</v>
      </c>
      <c r="K96" s="12" t="s">
        <v>8</v>
      </c>
      <c r="L96" s="4" t="s">
        <v>23</v>
      </c>
      <c r="M96" s="4" t="s">
        <v>23</v>
      </c>
      <c r="N96" s="27">
        <v>16.134875000000001</v>
      </c>
      <c r="O96" s="27">
        <v>5.4896250000000002</v>
      </c>
      <c r="P96" s="27">
        <v>-14.06025</v>
      </c>
      <c r="Q96" s="27">
        <v>3.9370000000000003</v>
      </c>
      <c r="R96" s="27">
        <v>14.364208333333332</v>
      </c>
      <c r="S96" s="27">
        <v>11.4505</v>
      </c>
      <c r="T96" s="27">
        <v>11.836041666666667</v>
      </c>
      <c r="U96" s="27">
        <v>9.3048749999999991</v>
      </c>
      <c r="V96" s="27">
        <v>9.4905000000000008</v>
      </c>
      <c r="W96" s="27">
        <v>2.8380000000000001</v>
      </c>
      <c r="X96" s="27">
        <v>13.905374999999999</v>
      </c>
      <c r="Y96" s="27">
        <v>-1.69625</v>
      </c>
      <c r="Z96" s="27">
        <v>2.5970000000000004</v>
      </c>
      <c r="AA96" s="27">
        <v>-0.6180000000000001</v>
      </c>
      <c r="AB96" s="16">
        <v>0.69143347474648587</v>
      </c>
      <c r="AC96" s="16">
        <v>0.94771738930969851</v>
      </c>
      <c r="AD96" s="16">
        <v>0.30128032350841177</v>
      </c>
      <c r="AE96" s="16">
        <v>0.70637478248683983</v>
      </c>
      <c r="AF96" s="16">
        <v>1.1075543252289399</v>
      </c>
      <c r="AG96" s="16">
        <v>0.29976546387690012</v>
      </c>
      <c r="AH96" s="16">
        <v>0.90312342272065305</v>
      </c>
      <c r="AI96" s="16">
        <v>0.57631407814373836</v>
      </c>
      <c r="AJ96" s="16">
        <v>0.67811061044640797</v>
      </c>
      <c r="AK96" s="16">
        <v>0</v>
      </c>
      <c r="AL96" s="16">
        <v>0.31998164009830293</v>
      </c>
      <c r="AM96" s="16">
        <v>0.55084510829572919</v>
      </c>
      <c r="AN96" s="16">
        <v>0.88775925790723031</v>
      </c>
      <c r="AO96" s="16">
        <v>0.4542787323512586</v>
      </c>
    </row>
    <row r="97" spans="1:41" x14ac:dyDescent="0.75">
      <c r="A97" s="2" t="s">
        <v>96</v>
      </c>
      <c r="B97" s="2" t="s">
        <v>96</v>
      </c>
      <c r="C97" s="2" t="str">
        <f t="shared" si="1"/>
        <v>Night_850m_0.2-0.5 mm</v>
      </c>
      <c r="D97" s="4" t="s">
        <v>76</v>
      </c>
      <c r="E97" s="5" t="s">
        <v>77</v>
      </c>
      <c r="G97" s="6" t="s">
        <v>6</v>
      </c>
      <c r="H97" s="7">
        <v>2</v>
      </c>
      <c r="I97" s="7">
        <v>850</v>
      </c>
      <c r="J97" s="12">
        <v>200</v>
      </c>
      <c r="K97" s="12" t="s">
        <v>8</v>
      </c>
      <c r="L97" s="4" t="s">
        <v>23</v>
      </c>
      <c r="M97" s="4" t="s">
        <v>23</v>
      </c>
      <c r="N97" s="27">
        <v>18.096125000000001</v>
      </c>
      <c r="O97" s="27">
        <v>6.8713750000000005</v>
      </c>
      <c r="P97" s="27">
        <v>-15.317499999999999</v>
      </c>
      <c r="Q97" s="27">
        <v>7.6389999999999993</v>
      </c>
      <c r="R97" s="27">
        <v>16.741125</v>
      </c>
      <c r="S97" s="27">
        <v>14.359749999999998</v>
      </c>
      <c r="T97" s="27">
        <v>14.056250000000002</v>
      </c>
      <c r="U97" s="27">
        <v>12.912625</v>
      </c>
      <c r="V97" s="27">
        <v>12.679875000000001</v>
      </c>
      <c r="W97" s="27">
        <v>5.57125</v>
      </c>
      <c r="X97" s="27">
        <v>15.031750000000001</v>
      </c>
      <c r="Y97" s="27">
        <v>-0.23262500000000008</v>
      </c>
      <c r="Z97" s="27">
        <v>7.10975</v>
      </c>
      <c r="AA97" s="27">
        <v>2.5982500000000002</v>
      </c>
      <c r="AB97" s="16">
        <v>0.4323169169332442</v>
      </c>
      <c r="AC97" s="16">
        <v>0.31056172226038004</v>
      </c>
      <c r="AD97" s="16">
        <v>0.90660134568618467</v>
      </c>
      <c r="AE97" s="16">
        <v>0.57235594985405169</v>
      </c>
      <c r="AF97" s="16">
        <v>0.96129786400123318</v>
      </c>
      <c r="AG97" s="16">
        <v>0.29766480029276771</v>
      </c>
      <c r="AH97" s="16">
        <v>0.70465499832660461</v>
      </c>
      <c r="AI97" s="16">
        <v>0.64737025727167874</v>
      </c>
      <c r="AJ97" s="16">
        <v>0.26783685954949016</v>
      </c>
      <c r="AK97" s="16">
        <v>0.64314060152763897</v>
      </c>
      <c r="AL97" s="16">
        <v>0.66258458579515134</v>
      </c>
      <c r="AM97" s="16">
        <v>0.75546845290411246</v>
      </c>
      <c r="AN97" s="16">
        <v>0.98025251848693562</v>
      </c>
      <c r="AO97" s="16">
        <v>1.0347301580605432</v>
      </c>
    </row>
    <row r="98" spans="1:41" x14ac:dyDescent="0.75">
      <c r="A98" s="2" t="s">
        <v>96</v>
      </c>
      <c r="B98" s="2" t="s">
        <v>96</v>
      </c>
      <c r="C98" s="2" t="str">
        <f t="shared" si="1"/>
        <v>Night_1250m_0.2-0.5 mm</v>
      </c>
      <c r="D98" s="4" t="s">
        <v>76</v>
      </c>
      <c r="E98" s="5" t="s">
        <v>77</v>
      </c>
      <c r="G98" s="6" t="s">
        <v>6</v>
      </c>
      <c r="H98" s="7">
        <v>1</v>
      </c>
      <c r="I98" s="7">
        <v>1250</v>
      </c>
      <c r="J98" s="12">
        <v>200</v>
      </c>
      <c r="K98" s="12" t="s">
        <v>8</v>
      </c>
      <c r="L98" s="4" t="s">
        <v>23</v>
      </c>
      <c r="M98" s="4" t="s">
        <v>23</v>
      </c>
      <c r="N98" s="27">
        <v>18.776041666666664</v>
      </c>
      <c r="O98" s="27">
        <v>7.6867083333333319</v>
      </c>
      <c r="P98" s="27">
        <v>-17.126625000000001</v>
      </c>
      <c r="Q98" s="27">
        <v>8.2993333333333332</v>
      </c>
      <c r="R98" s="27">
        <v>18.638458333333332</v>
      </c>
      <c r="S98" s="27">
        <v>15.779750000000002</v>
      </c>
      <c r="T98" s="27">
        <v>15.247458333333334</v>
      </c>
      <c r="U98" s="27">
        <v>14.449458333333332</v>
      </c>
      <c r="V98" s="27">
        <v>13.622583333333333</v>
      </c>
      <c r="W98" s="27">
        <v>5.5581666666666667</v>
      </c>
      <c r="X98" s="27">
        <v>16.671166666666664</v>
      </c>
      <c r="Y98" s="27">
        <v>0.22270833333333334</v>
      </c>
      <c r="Z98" s="27">
        <v>7.0984583333333333</v>
      </c>
      <c r="AA98" s="27">
        <v>2.5855833333333331</v>
      </c>
      <c r="AB98" s="16">
        <v>0.25166495584407489</v>
      </c>
      <c r="AC98" s="16">
        <v>0.4818767996075346</v>
      </c>
      <c r="AD98" s="16">
        <v>0.86206839442509875</v>
      </c>
      <c r="AE98" s="16">
        <v>0.74853968943982319</v>
      </c>
      <c r="AF98" s="16">
        <v>0.69446568189747981</v>
      </c>
      <c r="AG98" s="16">
        <v>0.33788755526062197</v>
      </c>
      <c r="AH98" s="16">
        <v>0.93807209211232823</v>
      </c>
      <c r="AI98" s="16">
        <v>0.32567967391288027</v>
      </c>
      <c r="AJ98" s="16">
        <v>0.53581837718888714</v>
      </c>
      <c r="AK98" s="16">
        <v>0.72563030072712598</v>
      </c>
      <c r="AL98" s="16">
        <v>0.72126301259203174</v>
      </c>
      <c r="AM98" s="16">
        <v>0.54937896756246496</v>
      </c>
      <c r="AN98" s="16">
        <v>0.63808404618827441</v>
      </c>
      <c r="AO98" s="16">
        <v>0.51939002685843016</v>
      </c>
    </row>
    <row r="99" spans="1:41" x14ac:dyDescent="0.75">
      <c r="A99" s="2" t="s">
        <v>96</v>
      </c>
      <c r="B99" s="2" t="s">
        <v>96</v>
      </c>
      <c r="C99" s="2" t="str">
        <f t="shared" si="1"/>
        <v>Day_25m_1-2 mm</v>
      </c>
      <c r="D99" s="4" t="s">
        <v>76</v>
      </c>
      <c r="E99" s="5" t="s">
        <v>77</v>
      </c>
      <c r="G99" s="6" t="s">
        <v>5</v>
      </c>
      <c r="H99" s="7">
        <v>9</v>
      </c>
      <c r="I99" s="7">
        <v>25</v>
      </c>
      <c r="J99" s="12">
        <v>1000</v>
      </c>
      <c r="K99" s="12" t="s">
        <v>9</v>
      </c>
      <c r="L99" s="4" t="s">
        <v>23</v>
      </c>
      <c r="M99" s="4" t="s">
        <v>23</v>
      </c>
      <c r="N99" s="27">
        <v>13.726291666666668</v>
      </c>
      <c r="O99" s="27">
        <v>1.8077083333333333</v>
      </c>
      <c r="P99" s="27">
        <v>-11.840333333333334</v>
      </c>
      <c r="Q99" s="27">
        <v>3.3435416666666669</v>
      </c>
      <c r="R99" s="27">
        <v>11.280916666666666</v>
      </c>
      <c r="S99" s="27">
        <v>8.0085833333333323</v>
      </c>
      <c r="T99" s="27">
        <v>8.6320000000000014</v>
      </c>
      <c r="U99" s="27">
        <v>6.8824166666666668</v>
      </c>
      <c r="V99" s="27">
        <v>9.0569166666666661</v>
      </c>
      <c r="W99" s="27">
        <v>1.9857916666666666</v>
      </c>
      <c r="X99" s="27">
        <v>11.541083333333333</v>
      </c>
      <c r="Y99" s="27">
        <v>-3.3177500000000002</v>
      </c>
      <c r="Z99" s="27">
        <v>1.2767916666666665</v>
      </c>
      <c r="AA99" s="27">
        <v>-1.8202916666666669</v>
      </c>
      <c r="AB99" s="16">
        <v>0.39727897418984243</v>
      </c>
      <c r="AC99" s="16">
        <v>0.1950621695767798</v>
      </c>
      <c r="AD99" s="16">
        <v>0.67300074294164069</v>
      </c>
      <c r="AE99" s="16">
        <v>0.31165245065617575</v>
      </c>
      <c r="AF99" s="16">
        <v>0.49905310338680403</v>
      </c>
      <c r="AG99" s="16">
        <v>0.12232470450948696</v>
      </c>
      <c r="AH99" s="16">
        <v>0.23073433496845067</v>
      </c>
      <c r="AI99" s="16">
        <v>0.24870866490735757</v>
      </c>
      <c r="AJ99" s="16">
        <v>0.23662699197964177</v>
      </c>
      <c r="AK99" s="16">
        <v>0.68393024741806441</v>
      </c>
      <c r="AL99" s="16">
        <v>0.49219135845048501</v>
      </c>
      <c r="AM99" s="16">
        <v>0.73222514752408197</v>
      </c>
      <c r="AN99" s="16">
        <v>0.62859174615431745</v>
      </c>
      <c r="AO99" s="16">
        <v>0.27362611351989136</v>
      </c>
    </row>
    <row r="100" spans="1:41" x14ac:dyDescent="0.75">
      <c r="A100" s="2" t="s">
        <v>96</v>
      </c>
      <c r="B100" s="2" t="s">
        <v>96</v>
      </c>
      <c r="C100" s="2" t="str">
        <f t="shared" si="1"/>
        <v>Day_125m_1-2 mm</v>
      </c>
      <c r="D100" s="4" t="s">
        <v>76</v>
      </c>
      <c r="E100" s="5" t="s">
        <v>77</v>
      </c>
      <c r="G100" s="6" t="s">
        <v>5</v>
      </c>
      <c r="H100" s="7">
        <v>7</v>
      </c>
      <c r="I100" s="7">
        <v>125</v>
      </c>
      <c r="J100" s="12">
        <v>1000</v>
      </c>
      <c r="K100" s="12" t="s">
        <v>9</v>
      </c>
      <c r="L100" s="4" t="s">
        <v>23</v>
      </c>
      <c r="M100" s="4" t="s">
        <v>23</v>
      </c>
      <c r="N100" s="27">
        <v>15.045333333333334</v>
      </c>
      <c r="O100" s="27">
        <v>0.71650000000000003</v>
      </c>
      <c r="P100" s="27">
        <v>-13.560833333333333</v>
      </c>
      <c r="Q100" s="27">
        <v>3.7924999999999995</v>
      </c>
      <c r="R100" s="27">
        <v>12.005333333333333</v>
      </c>
      <c r="S100" s="27">
        <v>9.1750000000000007</v>
      </c>
      <c r="T100" s="27">
        <v>9.8903333333333343</v>
      </c>
      <c r="U100" s="27">
        <v>8.8790000000000013</v>
      </c>
      <c r="V100" s="27">
        <v>9.9481666666666655</v>
      </c>
      <c r="W100" s="27">
        <v>2.5031666666666665</v>
      </c>
      <c r="X100" s="27">
        <v>12.700500000000002</v>
      </c>
      <c r="Y100" s="27">
        <v>-2.6463333333333336</v>
      </c>
      <c r="Z100" s="27">
        <v>3.0308333333333333</v>
      </c>
      <c r="AA100" s="27">
        <v>-1.3705000000000001</v>
      </c>
      <c r="AB100" s="16">
        <v>0.19651038988647274</v>
      </c>
      <c r="AC100" s="16">
        <v>0.79108448769184359</v>
      </c>
      <c r="AD100" s="16">
        <v>0.76630194223078041</v>
      </c>
      <c r="AE100" s="16">
        <v>0.75665954475356401</v>
      </c>
      <c r="AF100" s="16">
        <v>0.68090993041174941</v>
      </c>
      <c r="AG100" s="16">
        <v>0.41507589667433159</v>
      </c>
      <c r="AH100" s="16">
        <v>0.59752210558829233</v>
      </c>
      <c r="AI100" s="16">
        <v>0.44917999361800059</v>
      </c>
      <c r="AJ100" s="16">
        <v>0.51331601702395102</v>
      </c>
      <c r="AK100" s="16">
        <v>0.95060805102137991</v>
      </c>
      <c r="AL100" s="16">
        <v>0.27864314095272519</v>
      </c>
      <c r="AM100" s="16">
        <v>0.61767844924901327</v>
      </c>
      <c r="AN100" s="16">
        <v>0.38130390329324809</v>
      </c>
      <c r="AO100" s="16">
        <v>0.6001366511053966</v>
      </c>
    </row>
    <row r="101" spans="1:41" x14ac:dyDescent="0.75">
      <c r="A101" s="2" t="s">
        <v>96</v>
      </c>
      <c r="B101" s="2" t="s">
        <v>96</v>
      </c>
      <c r="C101" s="2" t="str">
        <f t="shared" si="1"/>
        <v>Day_400m_1-2 mm</v>
      </c>
      <c r="D101" s="4" t="s">
        <v>76</v>
      </c>
      <c r="E101" s="5" t="s">
        <v>77</v>
      </c>
      <c r="G101" s="6" t="s">
        <v>5</v>
      </c>
      <c r="H101" s="7">
        <v>4</v>
      </c>
      <c r="I101" s="7">
        <v>400</v>
      </c>
      <c r="J101" s="12">
        <v>1000</v>
      </c>
      <c r="K101" s="12" t="s">
        <v>9</v>
      </c>
      <c r="L101" s="4" t="s">
        <v>23</v>
      </c>
      <c r="M101" s="4" t="s">
        <v>23</v>
      </c>
      <c r="N101" s="27">
        <v>15.332041666666667</v>
      </c>
      <c r="O101" s="27">
        <v>4.3145416666666669</v>
      </c>
      <c r="P101" s="27">
        <v>-12.620875000000002</v>
      </c>
      <c r="Q101" s="27">
        <v>4.6033749999999998</v>
      </c>
      <c r="R101" s="27">
        <v>14.292083333333334</v>
      </c>
      <c r="S101" s="27">
        <v>10.724333333333334</v>
      </c>
      <c r="T101" s="27">
        <v>11.537416666666665</v>
      </c>
      <c r="U101" s="27">
        <v>9.0748333333333324</v>
      </c>
      <c r="V101" s="27">
        <v>10.893041666666665</v>
      </c>
      <c r="W101" s="27">
        <v>4.2667083333333338</v>
      </c>
      <c r="X101" s="27">
        <v>14.317541666666667</v>
      </c>
      <c r="Y101" s="27">
        <v>-2.3134583333333332</v>
      </c>
      <c r="Z101" s="27">
        <v>3.2430833333333333</v>
      </c>
      <c r="AA101" s="27">
        <v>2.0083333333333286E-2</v>
      </c>
      <c r="AB101" s="16">
        <v>0.22574598556785044</v>
      </c>
      <c r="AC101" s="16">
        <v>0.52487641402525109</v>
      </c>
      <c r="AD101" s="16">
        <v>0.80931323766923913</v>
      </c>
      <c r="AE101" s="16">
        <v>0.52678197577365915</v>
      </c>
      <c r="AF101" s="16">
        <v>0.63204113790164029</v>
      </c>
      <c r="AG101" s="16">
        <v>0.36746927309186961</v>
      </c>
      <c r="AH101" s="16">
        <v>0.50456912311396951</v>
      </c>
      <c r="AI101" s="16">
        <v>0.11701566846652045</v>
      </c>
      <c r="AJ101" s="16">
        <v>0.20445517031042867</v>
      </c>
      <c r="AK101" s="16">
        <v>0.53755581105593109</v>
      </c>
      <c r="AL101" s="16">
        <v>0.40253105470261574</v>
      </c>
      <c r="AM101" s="16">
        <v>0.3933178316154361</v>
      </c>
      <c r="AN101" s="16">
        <v>0.87635114727677987</v>
      </c>
      <c r="AO101" s="16">
        <v>0.42507175864787838</v>
      </c>
    </row>
    <row r="102" spans="1:41" x14ac:dyDescent="0.75">
      <c r="A102" s="2" t="s">
        <v>96</v>
      </c>
      <c r="B102" s="2" t="s">
        <v>96</v>
      </c>
      <c r="C102" s="2" t="str">
        <f t="shared" si="1"/>
        <v>Day_850m_1-2 mm</v>
      </c>
      <c r="D102" s="4" t="s">
        <v>76</v>
      </c>
      <c r="E102" s="5" t="s">
        <v>77</v>
      </c>
      <c r="G102" s="6" t="s">
        <v>5</v>
      </c>
      <c r="H102" s="7">
        <v>2</v>
      </c>
      <c r="I102" s="7">
        <v>850</v>
      </c>
      <c r="J102" s="12">
        <v>1000</v>
      </c>
      <c r="K102" s="12" t="s">
        <v>9</v>
      </c>
      <c r="L102" s="4" t="s">
        <v>23</v>
      </c>
      <c r="M102" s="4" t="s">
        <v>23</v>
      </c>
      <c r="N102" s="27">
        <v>17.651708333333332</v>
      </c>
      <c r="O102" s="27">
        <v>4.6807083333333335</v>
      </c>
      <c r="P102" s="27">
        <v>-18.741958333333336</v>
      </c>
      <c r="Q102" s="27">
        <v>6.4713333333333338</v>
      </c>
      <c r="R102" s="27">
        <v>17.864791666666669</v>
      </c>
      <c r="S102" s="27">
        <v>13.441333333333334</v>
      </c>
      <c r="T102" s="27">
        <v>12.912000000000001</v>
      </c>
      <c r="U102" s="27">
        <v>12.476166666666666</v>
      </c>
      <c r="V102" s="27">
        <v>13.124750000000001</v>
      </c>
      <c r="W102" s="27">
        <v>2.7029999999999998</v>
      </c>
      <c r="X102" s="27">
        <v>16.781458333333333</v>
      </c>
      <c r="Y102" s="27">
        <v>-1.8943333333333334</v>
      </c>
      <c r="Z102" s="27">
        <v>5.7270416666666666</v>
      </c>
      <c r="AA102" s="27">
        <v>0.88683333333333336</v>
      </c>
      <c r="AB102" s="16">
        <v>0.22265200800052604</v>
      </c>
      <c r="AC102" s="16">
        <v>9.7812320287374771E-2</v>
      </c>
      <c r="AD102" s="16">
        <v>0.78827210826380734</v>
      </c>
      <c r="AE102" s="16">
        <v>0.8330816286535192</v>
      </c>
      <c r="AF102" s="16">
        <v>0.94863441324885656</v>
      </c>
      <c r="AG102" s="16">
        <v>0.32353206950780072</v>
      </c>
      <c r="AH102" s="16">
        <v>0.68092951177049066</v>
      </c>
      <c r="AI102" s="16">
        <v>0.33047339781995533</v>
      </c>
      <c r="AJ102" s="16">
        <v>0.45752996258897244</v>
      </c>
      <c r="AK102" s="16">
        <v>0.45712470946121547</v>
      </c>
      <c r="AL102" s="16">
        <v>0.37401013800876254</v>
      </c>
      <c r="AM102" s="16">
        <v>0.50798523600592993</v>
      </c>
      <c r="AN102" s="16">
        <v>0.70093170138038885</v>
      </c>
      <c r="AO102" s="16">
        <v>0.54753082105028417</v>
      </c>
    </row>
    <row r="103" spans="1:41" x14ac:dyDescent="0.75">
      <c r="A103" s="2" t="s">
        <v>96</v>
      </c>
      <c r="B103" s="2" t="s">
        <v>96</v>
      </c>
      <c r="C103" s="2" t="str">
        <f t="shared" si="1"/>
        <v>Day_1250m_1-2 mm</v>
      </c>
      <c r="D103" s="4" t="s">
        <v>76</v>
      </c>
      <c r="E103" s="5" t="s">
        <v>77</v>
      </c>
      <c r="G103" s="6" t="s">
        <v>5</v>
      </c>
      <c r="H103" s="7">
        <v>1</v>
      </c>
      <c r="I103" s="7">
        <v>1250</v>
      </c>
      <c r="J103" s="12">
        <v>1000</v>
      </c>
      <c r="K103" s="12" t="s">
        <v>9</v>
      </c>
      <c r="L103" s="4" t="s">
        <v>23</v>
      </c>
      <c r="M103" s="4" t="s">
        <v>23</v>
      </c>
      <c r="N103" s="27">
        <v>20.570500000000003</v>
      </c>
      <c r="O103" s="27">
        <v>7.4013749999999998</v>
      </c>
      <c r="P103" s="27">
        <v>-20.21275</v>
      </c>
      <c r="Q103" s="27">
        <v>8.7620000000000005</v>
      </c>
      <c r="R103" s="27">
        <v>19.057333333333332</v>
      </c>
      <c r="S103" s="27">
        <v>15.450791666666667</v>
      </c>
      <c r="T103" s="27">
        <v>16.427666666666667</v>
      </c>
      <c r="U103" s="27">
        <v>14.591791666666666</v>
      </c>
      <c r="V103" s="27">
        <v>14.7075</v>
      </c>
      <c r="W103" s="27">
        <v>4.9900833333333328</v>
      </c>
      <c r="X103" s="27">
        <v>18.234208333333335</v>
      </c>
      <c r="Y103" s="27">
        <v>-2.2199999999999998</v>
      </c>
      <c r="Z103" s="27">
        <v>5.2991666666666664</v>
      </c>
      <c r="AA103" s="27">
        <v>0.6342916666666667</v>
      </c>
      <c r="AB103" s="16">
        <v>0.90150411350512683</v>
      </c>
      <c r="AC103" s="16">
        <v>0.88807352360789393</v>
      </c>
      <c r="AD103" s="16">
        <v>0.5964852610640663</v>
      </c>
      <c r="AE103" s="16">
        <v>0.96537194904348034</v>
      </c>
      <c r="AF103" s="16">
        <v>1.0568279582473845</v>
      </c>
      <c r="AG103" s="16">
        <v>0.88058952791108502</v>
      </c>
      <c r="AH103" s="16">
        <v>0.97538214733166728</v>
      </c>
      <c r="AI103" s="16">
        <v>0.84038121310113378</v>
      </c>
      <c r="AJ103" s="16">
        <v>0.57487621856071458</v>
      </c>
      <c r="AK103" s="16">
        <v>1.063357105272414</v>
      </c>
      <c r="AL103" s="16">
        <v>0.3775467962164869</v>
      </c>
      <c r="AM103" s="16">
        <v>0.53196961066085968</v>
      </c>
      <c r="AN103" s="16">
        <v>0.62855734291577381</v>
      </c>
      <c r="AO103" s="16">
        <v>0.42763604073245898</v>
      </c>
    </row>
    <row r="104" spans="1:41" x14ac:dyDescent="0.75">
      <c r="A104" s="2" t="s">
        <v>96</v>
      </c>
      <c r="B104" s="2" t="s">
        <v>96</v>
      </c>
      <c r="C104" s="2" t="str">
        <f t="shared" si="1"/>
        <v>Night_25m_1-2 mm</v>
      </c>
      <c r="D104" s="4" t="s">
        <v>76</v>
      </c>
      <c r="E104" s="5" t="s">
        <v>77</v>
      </c>
      <c r="G104" s="6" t="s">
        <v>6</v>
      </c>
      <c r="H104" s="7">
        <v>9</v>
      </c>
      <c r="I104" s="7">
        <v>25</v>
      </c>
      <c r="J104" s="12">
        <v>1000</v>
      </c>
      <c r="K104" s="12" t="s">
        <v>9</v>
      </c>
      <c r="L104" s="4" t="s">
        <v>23</v>
      </c>
      <c r="M104" s="4" t="s">
        <v>23</v>
      </c>
      <c r="N104" s="27">
        <v>12.586666666666666</v>
      </c>
      <c r="O104" s="27">
        <v>2.3033333333333332</v>
      </c>
      <c r="P104" s="27">
        <v>-12.421499999999998</v>
      </c>
      <c r="Q104" s="27">
        <v>2.3283333333333331</v>
      </c>
      <c r="R104" s="27">
        <v>10.522333333333332</v>
      </c>
      <c r="S104" s="27">
        <v>7.2176666666666662</v>
      </c>
      <c r="T104" s="27">
        <v>7.7966666666666669</v>
      </c>
      <c r="U104" s="27">
        <v>6.318833333333334</v>
      </c>
      <c r="V104" s="27">
        <v>7.814333333333332</v>
      </c>
      <c r="W104" s="27">
        <v>1.6151666666666666</v>
      </c>
      <c r="X104" s="27">
        <v>10.784333333333333</v>
      </c>
      <c r="Y104" s="27">
        <v>-3.0453333333333332</v>
      </c>
      <c r="Z104" s="27">
        <v>1.2733333333333334</v>
      </c>
      <c r="AA104" s="27">
        <v>-2.1481666666666666</v>
      </c>
      <c r="AB104" s="16">
        <v>0.40928392752871845</v>
      </c>
      <c r="AC104" s="16">
        <v>0.31917027848261098</v>
      </c>
      <c r="AD104" s="16">
        <v>0.59823629668105782</v>
      </c>
      <c r="AE104" s="16">
        <v>0.33919512575114324</v>
      </c>
      <c r="AF104" s="16">
        <v>0.60470047682027395</v>
      </c>
      <c r="AG104" s="16">
        <v>0.21201729489202825</v>
      </c>
      <c r="AH104" s="16">
        <v>0.83970510696712253</v>
      </c>
      <c r="AI104" s="16">
        <v>0.22866423711051378</v>
      </c>
      <c r="AJ104" s="16">
        <v>0.16751517344208902</v>
      </c>
      <c r="AK104" s="16">
        <v>0.53054060479225629</v>
      </c>
      <c r="AL104" s="16">
        <v>0.35086939640460729</v>
      </c>
      <c r="AM104" s="16">
        <v>0.54525254087746777</v>
      </c>
      <c r="AN104" s="16">
        <v>0.71283705477946813</v>
      </c>
      <c r="AO104" s="16">
        <v>0.44579292651782992</v>
      </c>
    </row>
    <row r="105" spans="1:41" x14ac:dyDescent="0.75">
      <c r="A105" s="2" t="s">
        <v>96</v>
      </c>
      <c r="B105" s="2" t="s">
        <v>96</v>
      </c>
      <c r="C105" s="2" t="str">
        <f t="shared" si="1"/>
        <v>Night_125m_1-2 mm</v>
      </c>
      <c r="D105" s="4" t="s">
        <v>76</v>
      </c>
      <c r="E105" s="5" t="s">
        <v>77</v>
      </c>
      <c r="G105" s="6" t="s">
        <v>6</v>
      </c>
      <c r="H105" s="7">
        <v>7</v>
      </c>
      <c r="I105" s="7">
        <v>125</v>
      </c>
      <c r="J105" s="12">
        <v>1000</v>
      </c>
      <c r="K105" s="12" t="s">
        <v>9</v>
      </c>
      <c r="L105" s="4" t="s">
        <v>23</v>
      </c>
      <c r="M105" s="4" t="s">
        <v>23</v>
      </c>
      <c r="N105" s="27">
        <v>16.049166666666668</v>
      </c>
      <c r="O105" s="27">
        <v>2.7031666666666667</v>
      </c>
      <c r="P105" s="27">
        <v>-13.019166666666667</v>
      </c>
      <c r="Q105" s="27">
        <v>4.5368333333333339</v>
      </c>
      <c r="R105" s="27">
        <v>14.091333333333335</v>
      </c>
      <c r="S105" s="27">
        <v>10.141999999999999</v>
      </c>
      <c r="T105" s="27">
        <v>10.324999999999999</v>
      </c>
      <c r="U105" s="27">
        <v>9.0693333333333328</v>
      </c>
      <c r="V105" s="27">
        <v>11.089166666666666</v>
      </c>
      <c r="W105" s="27">
        <v>3.7490000000000001</v>
      </c>
      <c r="X105" s="27">
        <v>15.017500000000002</v>
      </c>
      <c r="Y105" s="27">
        <v>-2.5265</v>
      </c>
      <c r="Z105" s="27">
        <v>2.952</v>
      </c>
      <c r="AA105" s="27">
        <v>-0.52600000000000002</v>
      </c>
      <c r="AB105" s="16">
        <v>0.41654731623990388</v>
      </c>
      <c r="AC105" s="16">
        <v>0.35294428266606992</v>
      </c>
      <c r="AD105" s="16">
        <v>0.80814210796534114</v>
      </c>
      <c r="AE105" s="16">
        <v>0.69733110260956188</v>
      </c>
      <c r="AF105" s="16">
        <v>0.87638594998626795</v>
      </c>
      <c r="AG105" s="16">
        <v>0.24411404438636239</v>
      </c>
      <c r="AH105" s="16">
        <v>0.75518474560864934</v>
      </c>
      <c r="AI105" s="16">
        <v>0.53605161443030269</v>
      </c>
      <c r="AJ105" s="16">
        <v>0.47276808972969603</v>
      </c>
      <c r="AK105" s="16">
        <v>0.76497385576240506</v>
      </c>
      <c r="AL105" s="16">
        <v>0.17000784295633789</v>
      </c>
      <c r="AM105" s="16">
        <v>0.48382641515320601</v>
      </c>
      <c r="AN105" s="16">
        <v>0.9363936138184632</v>
      </c>
      <c r="AO105" s="16">
        <v>0.82763075502706329</v>
      </c>
    </row>
    <row r="106" spans="1:41" x14ac:dyDescent="0.75">
      <c r="A106" s="2" t="s">
        <v>96</v>
      </c>
      <c r="B106" s="2" t="s">
        <v>96</v>
      </c>
      <c r="C106" s="2" t="str">
        <f t="shared" si="1"/>
        <v>Night_400m_1-2 mm</v>
      </c>
      <c r="D106" s="4" t="s">
        <v>76</v>
      </c>
      <c r="E106" s="5" t="s">
        <v>77</v>
      </c>
      <c r="G106" s="6" t="s">
        <v>6</v>
      </c>
      <c r="H106" s="7">
        <v>4</v>
      </c>
      <c r="I106" s="7">
        <v>400</v>
      </c>
      <c r="J106" s="12">
        <v>1000</v>
      </c>
      <c r="K106" s="12" t="s">
        <v>9</v>
      </c>
      <c r="L106" s="4" t="s">
        <v>23</v>
      </c>
      <c r="M106" s="4" t="s">
        <v>23</v>
      </c>
      <c r="N106" s="27">
        <v>17.051416666666668</v>
      </c>
      <c r="O106" s="27">
        <v>3.8731666666666662</v>
      </c>
      <c r="P106" s="27">
        <v>-16.159875</v>
      </c>
      <c r="Q106" s="27">
        <v>5.6502499999999998</v>
      </c>
      <c r="R106" s="27">
        <v>15.510333333333335</v>
      </c>
      <c r="S106" s="27">
        <v>11.975791666666666</v>
      </c>
      <c r="T106" s="27">
        <v>12.504</v>
      </c>
      <c r="U106" s="27">
        <v>10.808875</v>
      </c>
      <c r="V106" s="27">
        <v>12.418749999999999</v>
      </c>
      <c r="W106" s="27">
        <v>5.0345833333333339</v>
      </c>
      <c r="X106" s="27">
        <v>16.176583333333333</v>
      </c>
      <c r="Y106" s="27">
        <v>-1.4954583333333331</v>
      </c>
      <c r="Z106" s="27">
        <v>4.7794166666666662</v>
      </c>
      <c r="AA106" s="27">
        <v>-0.66650000000000009</v>
      </c>
      <c r="AB106" s="16">
        <v>0.51963897723964791</v>
      </c>
      <c r="AC106" s="16">
        <v>5.7497826045860199E-2</v>
      </c>
      <c r="AD106" s="16">
        <v>0.84463103384456228</v>
      </c>
      <c r="AE106" s="16">
        <v>0.5443087359210762</v>
      </c>
      <c r="AF106" s="16">
        <v>0.76937832046399657</v>
      </c>
      <c r="AG106" s="16">
        <v>0.19245757108169734</v>
      </c>
      <c r="AH106" s="16">
        <v>0.70842618999206097</v>
      </c>
      <c r="AI106" s="16">
        <v>0.29066002477120939</v>
      </c>
      <c r="AJ106" s="16">
        <v>0.25499411757921031</v>
      </c>
      <c r="AK106" s="16">
        <v>0.59736253648852111</v>
      </c>
      <c r="AL106" s="16">
        <v>0.24977189593707325</v>
      </c>
      <c r="AM106" s="16">
        <v>0.52878469153333119</v>
      </c>
      <c r="AN106" s="16">
        <v>0.3102622546599354</v>
      </c>
      <c r="AO106" s="16">
        <v>0.87410392212062882</v>
      </c>
    </row>
    <row r="107" spans="1:41" x14ac:dyDescent="0.75">
      <c r="A107" s="2" t="s">
        <v>96</v>
      </c>
      <c r="B107" s="2" t="s">
        <v>96</v>
      </c>
      <c r="C107" s="2" t="str">
        <f t="shared" si="1"/>
        <v>Night_850m_1-2 mm</v>
      </c>
      <c r="D107" s="4" t="s">
        <v>76</v>
      </c>
      <c r="E107" s="5" t="s">
        <v>77</v>
      </c>
      <c r="G107" s="6" t="s">
        <v>6</v>
      </c>
      <c r="H107" s="7">
        <v>2</v>
      </c>
      <c r="I107" s="7">
        <v>850</v>
      </c>
      <c r="J107" s="12">
        <v>1000</v>
      </c>
      <c r="K107" s="12" t="s">
        <v>9</v>
      </c>
      <c r="L107" s="4" t="s">
        <v>23</v>
      </c>
      <c r="M107" s="4" t="s">
        <v>23</v>
      </c>
      <c r="N107" s="27">
        <v>18.623125000000002</v>
      </c>
      <c r="O107" s="27">
        <v>6.1742500000000007</v>
      </c>
      <c r="P107" s="27">
        <v>-16.827500000000001</v>
      </c>
      <c r="Q107" s="27">
        <v>7.2910000000000004</v>
      </c>
      <c r="R107" s="27">
        <v>16.20025</v>
      </c>
      <c r="S107" s="27">
        <v>13.16925</v>
      </c>
      <c r="T107" s="27">
        <v>13.549624999999999</v>
      </c>
      <c r="U107" s="27">
        <v>13.303249999999998</v>
      </c>
      <c r="V107" s="27">
        <v>13.647625000000001</v>
      </c>
      <c r="W107" s="27">
        <v>5.24275</v>
      </c>
      <c r="X107" s="27">
        <v>16.345124999999999</v>
      </c>
      <c r="Y107" s="27">
        <v>-1.7346250000000001</v>
      </c>
      <c r="Z107" s="27">
        <v>5.98475</v>
      </c>
      <c r="AA107" s="27">
        <v>0.18437500000000001</v>
      </c>
      <c r="AB107" s="16">
        <v>0.33374179140966553</v>
      </c>
      <c r="AC107" s="16">
        <v>0.7484672114840214</v>
      </c>
      <c r="AD107" s="16">
        <v>0.62231597012021711</v>
      </c>
      <c r="AE107" s="16">
        <v>0.77782978000759706</v>
      </c>
      <c r="AF107" s="16">
        <v>0.83907319903172528</v>
      </c>
      <c r="AG107" s="16">
        <v>0.49157196828134908</v>
      </c>
      <c r="AH107" s="16">
        <v>0.65665408194370734</v>
      </c>
      <c r="AI107" s="16">
        <v>0.24225571888674458</v>
      </c>
      <c r="AJ107" s="16">
        <v>0.20525248678964472</v>
      </c>
      <c r="AK107" s="16">
        <v>0.64699690880250704</v>
      </c>
      <c r="AL107" s="16">
        <v>0.48762135241735743</v>
      </c>
      <c r="AM107" s="16">
        <v>0.67169034284159901</v>
      </c>
      <c r="AN107" s="16">
        <v>0.85550014611337155</v>
      </c>
      <c r="AO107" s="16">
        <v>0.86786706931418944</v>
      </c>
    </row>
    <row r="108" spans="1:41" x14ac:dyDescent="0.75">
      <c r="A108" s="2" t="s">
        <v>96</v>
      </c>
      <c r="B108" s="2" t="s">
        <v>96</v>
      </c>
      <c r="C108" s="2" t="str">
        <f t="shared" si="1"/>
        <v>Night_1250m_1-2 mm</v>
      </c>
      <c r="D108" s="4" t="s">
        <v>76</v>
      </c>
      <c r="E108" s="5" t="s">
        <v>77</v>
      </c>
      <c r="G108" s="6" t="s">
        <v>6</v>
      </c>
      <c r="H108" s="7">
        <v>1</v>
      </c>
      <c r="I108" s="7">
        <v>1250</v>
      </c>
      <c r="J108" s="12">
        <v>1000</v>
      </c>
      <c r="K108" s="12" t="s">
        <v>9</v>
      </c>
      <c r="L108" s="4" t="s">
        <v>23</v>
      </c>
      <c r="M108" s="4" t="s">
        <v>23</v>
      </c>
      <c r="N108" s="27">
        <v>17.404333333333334</v>
      </c>
      <c r="O108" s="27">
        <v>6.4714166666666664</v>
      </c>
      <c r="P108" s="27">
        <v>-20.646916666666669</v>
      </c>
      <c r="Q108" s="27">
        <v>8.3785833333333333</v>
      </c>
      <c r="R108" s="27">
        <v>16.368666666666666</v>
      </c>
      <c r="S108" s="27">
        <v>14.387375</v>
      </c>
      <c r="T108" s="27">
        <v>16.099875000000001</v>
      </c>
      <c r="U108" s="27">
        <v>13.682333333333332</v>
      </c>
      <c r="V108" s="27">
        <v>13.300166666666668</v>
      </c>
      <c r="W108" s="27">
        <v>3.3418749999999999</v>
      </c>
      <c r="X108" s="27">
        <v>17.352458333333331</v>
      </c>
      <c r="Y108" s="27">
        <v>-1.4515833333333332</v>
      </c>
      <c r="Z108" s="27">
        <v>3.6182083333333335</v>
      </c>
      <c r="AA108" s="27">
        <v>-1.0040416666666667</v>
      </c>
      <c r="AB108" s="16">
        <v>0.28024691493990334</v>
      </c>
      <c r="AC108" s="16">
        <v>0.30347158021798376</v>
      </c>
      <c r="AD108" s="16">
        <v>0.97996853690990227</v>
      </c>
      <c r="AE108" s="16">
        <v>0.55538485155190598</v>
      </c>
      <c r="AF108" s="16">
        <v>0.97079949869510407</v>
      </c>
      <c r="AG108" s="16">
        <v>0.22208688239815802</v>
      </c>
      <c r="AH108" s="16">
        <v>0.60752798289461507</v>
      </c>
      <c r="AI108" s="16">
        <v>0.19408159795989621</v>
      </c>
      <c r="AJ108" s="16">
        <v>0.19182891683302944</v>
      </c>
      <c r="AK108" s="16">
        <v>0.70274574586640748</v>
      </c>
      <c r="AL108" s="16">
        <v>0.64013351471912938</v>
      </c>
      <c r="AM108" s="16">
        <v>0.78818018244561361</v>
      </c>
      <c r="AN108" s="16">
        <v>0.6978900940214966</v>
      </c>
      <c r="AO108" s="16">
        <v>0.85365327660980939</v>
      </c>
    </row>
    <row r="109" spans="1:41" x14ac:dyDescent="0.75">
      <c r="A109" s="2" t="s">
        <v>96</v>
      </c>
      <c r="B109" s="2" t="s">
        <v>96</v>
      </c>
      <c r="C109" s="2" t="str">
        <f t="shared" si="1"/>
        <v>Day_25m_Oncaeid</v>
      </c>
      <c r="D109" s="4" t="s">
        <v>76</v>
      </c>
      <c r="E109" s="5" t="s">
        <v>77</v>
      </c>
      <c r="G109" s="6" t="s">
        <v>5</v>
      </c>
      <c r="H109" s="6">
        <v>9</v>
      </c>
      <c r="I109" s="6">
        <v>25</v>
      </c>
      <c r="K109" s="4" t="s">
        <v>24</v>
      </c>
      <c r="L109" s="4" t="s">
        <v>24</v>
      </c>
      <c r="M109" s="4" t="s">
        <v>75</v>
      </c>
      <c r="N109" s="28">
        <v>8.9056666666666668</v>
      </c>
      <c r="O109" s="28">
        <v>3.1176666666666666</v>
      </c>
      <c r="P109" s="28">
        <v>-9.761333333333333</v>
      </c>
      <c r="Q109" s="28">
        <v>-2.7666666666666662E-2</v>
      </c>
      <c r="R109" s="28">
        <v>9.7010000000000005</v>
      </c>
      <c r="S109" s="28">
        <v>5.9273333333333333</v>
      </c>
      <c r="T109" s="28">
        <v>5.9146666666666663</v>
      </c>
      <c r="U109" s="28">
        <v>3.7276666666666665</v>
      </c>
      <c r="V109" s="28">
        <v>5.344333333333334</v>
      </c>
      <c r="W109" s="28">
        <v>1.5223333333333333</v>
      </c>
      <c r="X109" s="28">
        <v>7.1476666666666659</v>
      </c>
      <c r="Y109" s="28">
        <v>-3.8633333333333333</v>
      </c>
      <c r="Z109" s="28"/>
      <c r="AA109" s="28">
        <v>0.21099999999999999</v>
      </c>
      <c r="AB109" s="16">
        <v>0.25490063423485865</v>
      </c>
      <c r="AC109" s="16">
        <v>0.27506423492219662</v>
      </c>
      <c r="AD109" s="16">
        <v>0.68126818018555213</v>
      </c>
      <c r="AE109" s="16">
        <v>0.13822566090756569</v>
      </c>
      <c r="AF109" s="16">
        <v>0.53160793824020325</v>
      </c>
      <c r="AG109" s="16">
        <v>0.22498073991640577</v>
      </c>
      <c r="AH109" s="16">
        <v>0.31668964828887824</v>
      </c>
      <c r="AI109" s="16">
        <v>0.23190587170947896</v>
      </c>
      <c r="AJ109" s="16">
        <v>0.20924228380834808</v>
      </c>
      <c r="AK109" s="16">
        <v>0.54056482805796124</v>
      </c>
      <c r="AL109" s="16">
        <v>0.3635193713316161</v>
      </c>
      <c r="AM109" s="16">
        <v>0.58609413350871709</v>
      </c>
      <c r="AN109" s="16"/>
      <c r="AO109" s="16">
        <v>0.45582343072729375</v>
      </c>
    </row>
    <row r="110" spans="1:41" x14ac:dyDescent="0.75">
      <c r="A110" s="2" t="s">
        <v>96</v>
      </c>
      <c r="B110" s="2" t="s">
        <v>96</v>
      </c>
      <c r="C110" s="2" t="str">
        <f t="shared" si="1"/>
        <v>Night_400m_Oncaeid</v>
      </c>
      <c r="D110" s="4" t="s">
        <v>76</v>
      </c>
      <c r="E110" s="5" t="s">
        <v>77</v>
      </c>
      <c r="G110" s="6" t="s">
        <v>6</v>
      </c>
      <c r="H110" s="6">
        <v>4</v>
      </c>
      <c r="I110" s="6">
        <v>400</v>
      </c>
      <c r="K110" s="4" t="s">
        <v>24</v>
      </c>
      <c r="L110" s="4" t="s">
        <v>24</v>
      </c>
      <c r="M110" s="4" t="s">
        <v>75</v>
      </c>
      <c r="N110" s="28"/>
      <c r="O110" s="28">
        <v>7.492</v>
      </c>
      <c r="P110" s="28"/>
      <c r="Q110" s="28">
        <v>2.9823333333333335</v>
      </c>
      <c r="R110" s="28"/>
      <c r="S110" s="28">
        <v>10.037333333333333</v>
      </c>
      <c r="T110" s="28"/>
      <c r="U110" s="28">
        <v>6.8509999999999991</v>
      </c>
      <c r="V110" s="28">
        <v>8.0339999999999989</v>
      </c>
      <c r="W110" s="28">
        <v>1.5256666666666667</v>
      </c>
      <c r="X110" s="28">
        <v>9.2093333333333334</v>
      </c>
      <c r="Y110" s="28">
        <v>-2.9803333333333337</v>
      </c>
      <c r="Z110" s="28"/>
      <c r="AA110" s="28">
        <v>0.53933333333333333</v>
      </c>
      <c r="AB110" s="16"/>
      <c r="AC110" s="16"/>
      <c r="AD110" s="16"/>
      <c r="AE110" s="16">
        <v>0.59850174045973292</v>
      </c>
      <c r="AF110" s="16"/>
      <c r="AG110" s="16">
        <v>0.20169862005807909</v>
      </c>
      <c r="AH110" s="16"/>
      <c r="AI110" s="16">
        <v>0.7690312087295289</v>
      </c>
      <c r="AJ110" s="16">
        <v>0.6235390925996539</v>
      </c>
      <c r="AK110" s="16">
        <v>0.21129205695750441</v>
      </c>
      <c r="AL110" s="16">
        <v>0.69371632050380239</v>
      </c>
      <c r="AM110" s="16">
        <v>0.7635472043910142</v>
      </c>
      <c r="AN110" s="16"/>
      <c r="AO110" s="16">
        <v>0.52299171440218173</v>
      </c>
    </row>
    <row r="111" spans="1:41" x14ac:dyDescent="0.75">
      <c r="A111" s="2" t="s">
        <v>96</v>
      </c>
      <c r="B111" s="2" t="s">
        <v>96</v>
      </c>
      <c r="C111" s="2" t="str">
        <f t="shared" si="1"/>
        <v>Night_1250m_Oncaeid</v>
      </c>
      <c r="D111" s="4" t="s">
        <v>76</v>
      </c>
      <c r="E111" s="5" t="s">
        <v>77</v>
      </c>
      <c r="G111" s="6" t="s">
        <v>6</v>
      </c>
      <c r="H111" s="6">
        <v>1</v>
      </c>
      <c r="I111" s="6">
        <v>1250</v>
      </c>
      <c r="K111" s="4" t="s">
        <v>24</v>
      </c>
      <c r="L111" s="4" t="s">
        <v>24</v>
      </c>
      <c r="M111" s="4" t="s">
        <v>75</v>
      </c>
      <c r="N111" s="28">
        <v>20.712499999999999</v>
      </c>
      <c r="O111" s="28">
        <v>10.5045</v>
      </c>
      <c r="P111" s="28"/>
      <c r="Q111" s="28">
        <v>10.7065</v>
      </c>
      <c r="R111" s="28"/>
      <c r="S111" s="28">
        <v>21.326333333333334</v>
      </c>
      <c r="T111" s="28"/>
      <c r="U111" s="28">
        <v>16.861999999999998</v>
      </c>
      <c r="V111" s="28">
        <v>17.394000000000002</v>
      </c>
      <c r="W111" s="28">
        <v>5.2780000000000005</v>
      </c>
      <c r="X111" s="28">
        <v>19.305999999999997</v>
      </c>
      <c r="Y111" s="28">
        <v>-2.3283333333333331</v>
      </c>
      <c r="Z111" s="28"/>
      <c r="AA111" s="28">
        <v>1.8003333333333333</v>
      </c>
      <c r="AB111" s="16">
        <v>0.50840977567312595</v>
      </c>
      <c r="AC111" s="16">
        <v>0.61023315216399021</v>
      </c>
      <c r="AD111" s="16"/>
      <c r="AE111" s="16">
        <v>0.60033365722737897</v>
      </c>
      <c r="AF111" s="16"/>
      <c r="AG111" s="16">
        <v>0.55600119903947387</v>
      </c>
      <c r="AH111" s="16"/>
      <c r="AI111" s="16">
        <v>0.51095205254505016</v>
      </c>
      <c r="AJ111" s="16">
        <v>0.22794955582321297</v>
      </c>
      <c r="AK111" s="16">
        <v>0.73397683887163578</v>
      </c>
      <c r="AL111" s="16">
        <v>0.39950093867223868</v>
      </c>
      <c r="AM111" s="16">
        <v>0.26207696070683772</v>
      </c>
      <c r="AN111" s="16"/>
      <c r="AO111" s="16">
        <v>0.4200670581387384</v>
      </c>
    </row>
    <row r="112" spans="1:41" x14ac:dyDescent="0.75">
      <c r="A112" s="2" t="s">
        <v>96</v>
      </c>
      <c r="B112" s="2" t="s">
        <v>96</v>
      </c>
      <c r="C112" s="2" t="str">
        <f t="shared" si="1"/>
        <v>Day_25m_Oithonid</v>
      </c>
      <c r="D112" s="4" t="s">
        <v>76</v>
      </c>
      <c r="E112" s="5" t="s">
        <v>77</v>
      </c>
      <c r="G112" s="6" t="s">
        <v>5</v>
      </c>
      <c r="H112" s="6">
        <v>9</v>
      </c>
      <c r="I112" s="6">
        <v>25</v>
      </c>
      <c r="K112" s="4" t="s">
        <v>25</v>
      </c>
      <c r="L112" s="4" t="s">
        <v>25</v>
      </c>
      <c r="M112" s="4" t="s">
        <v>75</v>
      </c>
      <c r="N112" s="28">
        <v>12.197000000000001</v>
      </c>
      <c r="O112" s="28">
        <v>2.097</v>
      </c>
      <c r="P112" s="28">
        <v>-11.66675</v>
      </c>
      <c r="Q112" s="28">
        <v>3.3290000000000002</v>
      </c>
      <c r="R112" s="28">
        <v>11.34925</v>
      </c>
      <c r="S112" s="28">
        <v>7.4532499999999997</v>
      </c>
      <c r="T112" s="28">
        <v>8.0797500000000007</v>
      </c>
      <c r="U112" s="28">
        <v>5.1372499999999999</v>
      </c>
      <c r="V112" s="28">
        <v>7.7065000000000001</v>
      </c>
      <c r="W112" s="28">
        <v>1.2855000000000001</v>
      </c>
      <c r="X112" s="28">
        <v>9.3297500000000007</v>
      </c>
      <c r="Y112" s="28">
        <v>-1.6897500000000001</v>
      </c>
      <c r="Z112" s="28"/>
      <c r="AA112" s="28">
        <v>1.4140000000000001</v>
      </c>
      <c r="AB112" s="16">
        <v>0.24647785566523706</v>
      </c>
      <c r="AC112" s="16">
        <v>0.38437741869157754</v>
      </c>
      <c r="AD112" s="16">
        <v>1.0199112297973121</v>
      </c>
      <c r="AE112" s="16">
        <v>0.4863112857693771</v>
      </c>
      <c r="AF112" s="16">
        <v>0.63893420370697529</v>
      </c>
      <c r="AG112" s="16">
        <v>0.26814097660248298</v>
      </c>
      <c r="AH112" s="16">
        <v>0.53178214524370815</v>
      </c>
      <c r="AI112" s="16">
        <v>0.16647797652142074</v>
      </c>
      <c r="AJ112" s="16">
        <v>0.27545175016083451</v>
      </c>
      <c r="AK112" s="16">
        <v>0.36303213815491969</v>
      </c>
      <c r="AL112" s="16">
        <v>0.26619338208653281</v>
      </c>
      <c r="AM112" s="16">
        <v>0.33116196943489717</v>
      </c>
      <c r="AN112" s="16"/>
      <c r="AO112" s="16">
        <v>9.4435162942624315E-2</v>
      </c>
    </row>
    <row r="113" spans="1:41" x14ac:dyDescent="0.75">
      <c r="A113" s="2" t="s">
        <v>96</v>
      </c>
      <c r="B113" s="2" t="s">
        <v>96</v>
      </c>
      <c r="C113" s="2" t="str">
        <f t="shared" si="1"/>
        <v>Night_400m_Oithonid</v>
      </c>
      <c r="D113" s="4" t="s">
        <v>76</v>
      </c>
      <c r="E113" s="5" t="s">
        <v>77</v>
      </c>
      <c r="G113" s="6" t="s">
        <v>6</v>
      </c>
      <c r="H113" s="6">
        <v>4</v>
      </c>
      <c r="I113" s="6">
        <v>400</v>
      </c>
      <c r="K113" s="4" t="s">
        <v>25</v>
      </c>
      <c r="L113" s="4" t="s">
        <v>25</v>
      </c>
      <c r="M113" s="4" t="s">
        <v>75</v>
      </c>
      <c r="N113" s="28">
        <v>24.502666666666666</v>
      </c>
      <c r="O113" s="28">
        <v>11.597666666666667</v>
      </c>
      <c r="P113" s="28">
        <v>-17.814000000000004</v>
      </c>
      <c r="Q113" s="28">
        <v>9.1006666666666671</v>
      </c>
      <c r="R113" s="28">
        <v>31.279</v>
      </c>
      <c r="S113" s="28">
        <v>21.328333333333333</v>
      </c>
      <c r="T113" s="28">
        <v>19.860333333333333</v>
      </c>
      <c r="U113" s="28">
        <v>14.701000000000001</v>
      </c>
      <c r="V113" s="28">
        <v>16.296333333333333</v>
      </c>
      <c r="W113" s="28">
        <v>5.78</v>
      </c>
      <c r="X113" s="28">
        <v>20.168000000000003</v>
      </c>
      <c r="Y113" s="28">
        <v>9.8999999999999977E-2</v>
      </c>
      <c r="Z113" s="28">
        <v>13.179333333333332</v>
      </c>
      <c r="AA113" s="28">
        <v>3.6969999999999996</v>
      </c>
      <c r="AB113" s="16">
        <v>0.57137582494653549</v>
      </c>
      <c r="AC113" s="16">
        <v>0.39207949874143327</v>
      </c>
      <c r="AD113" s="16">
        <v>0.58493674871732959</v>
      </c>
      <c r="AE113" s="16">
        <v>0.54801581485695627</v>
      </c>
      <c r="AF113" s="16">
        <v>0.18667619023325061</v>
      </c>
      <c r="AG113" s="16">
        <v>0.29579102983919692</v>
      </c>
      <c r="AH113" s="16">
        <v>0.47287877234375236</v>
      </c>
      <c r="AI113" s="16">
        <v>0.26744532151451117</v>
      </c>
      <c r="AJ113" s="16">
        <v>0.18803811670332535</v>
      </c>
      <c r="AK113" s="16">
        <v>0.476465108900956</v>
      </c>
      <c r="AL113" s="16">
        <v>0.33201807179730336</v>
      </c>
      <c r="AM113" s="16">
        <v>0.78462921179369804</v>
      </c>
      <c r="AN113" s="16">
        <v>0.6289454136356617</v>
      </c>
      <c r="AO113" s="16">
        <v>0.10470434565957602</v>
      </c>
    </row>
    <row r="114" spans="1:41" x14ac:dyDescent="0.75">
      <c r="A114" s="2" t="s">
        <v>96</v>
      </c>
      <c r="B114" s="2" t="s">
        <v>96</v>
      </c>
      <c r="C114" s="2" t="str">
        <f t="shared" si="1"/>
        <v>Night_400m_Harpactacoid</v>
      </c>
      <c r="D114" s="4" t="s">
        <v>76</v>
      </c>
      <c r="E114" s="5" t="s">
        <v>77</v>
      </c>
      <c r="G114" s="4" t="s">
        <v>6</v>
      </c>
      <c r="H114" s="4">
        <v>4</v>
      </c>
      <c r="I114" s="4">
        <v>400</v>
      </c>
      <c r="K114" s="4" t="s">
        <v>28</v>
      </c>
      <c r="L114" s="4" t="s">
        <v>28</v>
      </c>
      <c r="M114" s="4" t="s">
        <v>75</v>
      </c>
      <c r="N114" s="28">
        <v>12.996</v>
      </c>
      <c r="O114" s="28">
        <v>3.7333333333333338</v>
      </c>
      <c r="P114" s="28">
        <v>-14.488666666666667</v>
      </c>
      <c r="Q114" s="28">
        <v>2.0133333333333332</v>
      </c>
      <c r="R114" s="28">
        <v>15.305999999999999</v>
      </c>
      <c r="S114" s="28">
        <v>10.752000000000001</v>
      </c>
      <c r="T114" s="28">
        <v>10.979666666666667</v>
      </c>
      <c r="U114" s="28">
        <v>7.448666666666667</v>
      </c>
      <c r="V114" s="28">
        <v>7.5226666666666668</v>
      </c>
      <c r="W114" s="28">
        <v>-0.125</v>
      </c>
      <c r="X114" s="28">
        <v>11.070333333333332</v>
      </c>
      <c r="Y114" s="28">
        <v>-3.2296666666666698</v>
      </c>
      <c r="Z114" s="28"/>
      <c r="AA114" s="28">
        <v>-0.45999999999999996</v>
      </c>
      <c r="AB114" s="16">
        <v>0.44516513789828582</v>
      </c>
      <c r="AC114" s="16">
        <v>0.18824009491426991</v>
      </c>
      <c r="AD114" s="16">
        <v>0.42152619531095986</v>
      </c>
      <c r="AE114" s="16">
        <v>0.36816074387872133</v>
      </c>
      <c r="AF114" s="16">
        <v>0.78437427290802941</v>
      </c>
      <c r="AG114" s="16">
        <v>0.1775837830433849</v>
      </c>
      <c r="AH114" s="16">
        <v>0.54735759182944876</v>
      </c>
      <c r="AI114" s="16">
        <v>0.30871075998956227</v>
      </c>
      <c r="AJ114" s="16">
        <v>6.1460014101310821E-2</v>
      </c>
      <c r="AK114" s="16">
        <v>5.5018178813915665E-2</v>
      </c>
      <c r="AL114" s="16">
        <v>0.19200086805359354</v>
      </c>
      <c r="AM114" s="16">
        <v>0.34088169990970973</v>
      </c>
      <c r="AN114" s="16"/>
      <c r="AO114" s="16">
        <v>0.22324202113401517</v>
      </c>
    </row>
    <row r="115" spans="1:41" x14ac:dyDescent="0.75">
      <c r="A115" s="2" t="s">
        <v>96</v>
      </c>
      <c r="B115" s="2" t="s">
        <v>96</v>
      </c>
      <c r="C115" s="2" t="str">
        <f t="shared" si="1"/>
        <v>Night_25m_Pleuromamma</v>
      </c>
      <c r="D115" s="4" t="s">
        <v>76</v>
      </c>
      <c r="E115" s="5" t="s">
        <v>77</v>
      </c>
      <c r="G115" s="6" t="s">
        <v>6</v>
      </c>
      <c r="H115" s="6">
        <v>9</v>
      </c>
      <c r="I115" s="6">
        <v>25</v>
      </c>
      <c r="K115" s="4" t="s">
        <v>44</v>
      </c>
      <c r="L115" s="4" t="s">
        <v>44</v>
      </c>
      <c r="M115" s="4" t="s">
        <v>75</v>
      </c>
      <c r="N115" s="28">
        <v>16.220333333333333</v>
      </c>
      <c r="O115" s="28">
        <v>2.7949999999999999</v>
      </c>
      <c r="P115" s="28">
        <v>-13.707999999999998</v>
      </c>
      <c r="Q115" s="28">
        <v>4.0136666666666665</v>
      </c>
      <c r="R115" s="28">
        <v>14.491666666666667</v>
      </c>
      <c r="S115" s="28">
        <v>9.8079999999999998</v>
      </c>
      <c r="T115" s="28">
        <v>10.507</v>
      </c>
      <c r="U115" s="28">
        <v>6.5206666666666671</v>
      </c>
      <c r="V115" s="28">
        <v>10.271000000000001</v>
      </c>
      <c r="W115" s="28">
        <v>4.0333333333333341</v>
      </c>
      <c r="X115" s="28">
        <v>14.194666666666668</v>
      </c>
      <c r="Y115" s="28">
        <v>-0.81933333333333336</v>
      </c>
      <c r="Z115" s="28"/>
      <c r="AA115" s="28">
        <v>1.5589999999999999</v>
      </c>
      <c r="AB115" s="16">
        <v>0.37667005898177441</v>
      </c>
      <c r="AC115" s="16">
        <v>0.34215785830519796</v>
      </c>
      <c r="AD115" s="16">
        <v>0.18219769482625209</v>
      </c>
      <c r="AE115" s="16">
        <v>3.9145029484384586E-2</v>
      </c>
      <c r="AF115" s="16">
        <v>0.85761665873123893</v>
      </c>
      <c r="AG115" s="16">
        <v>0.11403069762129862</v>
      </c>
      <c r="AH115" s="16">
        <v>0.42631091940038363</v>
      </c>
      <c r="AI115" s="16">
        <v>0.18842858947976349</v>
      </c>
      <c r="AJ115" s="16">
        <v>0.31168413498283787</v>
      </c>
      <c r="AK115" s="16">
        <v>0.75202216279397516</v>
      </c>
      <c r="AL115" s="16">
        <v>0.17729166177046576</v>
      </c>
      <c r="AM115" s="16">
        <v>0.28944314352448075</v>
      </c>
      <c r="AN115" s="16"/>
      <c r="AO115" s="16">
        <v>0.24229733799610892</v>
      </c>
    </row>
    <row r="116" spans="1:41" x14ac:dyDescent="0.75">
      <c r="A116" s="2" t="s">
        <v>96</v>
      </c>
      <c r="B116" s="2" t="s">
        <v>96</v>
      </c>
      <c r="C116" s="2" t="str">
        <f t="shared" si="1"/>
        <v>Night_25m_Ostracod</v>
      </c>
      <c r="D116" s="4" t="s">
        <v>76</v>
      </c>
      <c r="E116" s="5" t="s">
        <v>77</v>
      </c>
      <c r="G116" s="6" t="s">
        <v>6</v>
      </c>
      <c r="H116" s="6">
        <v>9</v>
      </c>
      <c r="I116" s="6">
        <v>25</v>
      </c>
      <c r="K116" s="4" t="s">
        <v>26</v>
      </c>
      <c r="L116" s="4" t="s">
        <v>26</v>
      </c>
      <c r="M116" s="4" t="s">
        <v>75</v>
      </c>
      <c r="N116" s="28">
        <v>12.790666666666667</v>
      </c>
      <c r="O116" s="28">
        <v>1.8443333333333332</v>
      </c>
      <c r="P116" s="28">
        <v>-17.536000000000001</v>
      </c>
      <c r="Q116" s="28">
        <v>4.1236666666666659</v>
      </c>
      <c r="R116" s="28">
        <v>12.821333333333333</v>
      </c>
      <c r="S116" s="28">
        <v>9.9670000000000005</v>
      </c>
      <c r="T116" s="28">
        <v>11.968333333333334</v>
      </c>
      <c r="U116" s="28">
        <v>10.958999999999998</v>
      </c>
      <c r="V116" s="28">
        <v>9.5243333333333329</v>
      </c>
      <c r="W116" s="28">
        <v>3.298</v>
      </c>
      <c r="X116" s="28">
        <v>13.166333333333334</v>
      </c>
      <c r="Y116" s="28">
        <v>-1.3436666666666666</v>
      </c>
      <c r="Z116" s="28"/>
      <c r="AA116" s="28">
        <v>0.70733333333333326</v>
      </c>
      <c r="AB116" s="16">
        <v>0.57680961619353499</v>
      </c>
      <c r="AC116" s="16">
        <v>0.35353406247960617</v>
      </c>
      <c r="AD116" s="16">
        <v>0.62954825073222087</v>
      </c>
      <c r="AE116" s="16">
        <v>0.19925444369783435</v>
      </c>
      <c r="AF116" s="16">
        <v>0.26580130423557702</v>
      </c>
      <c r="AG116" s="16">
        <v>0.15516442891333057</v>
      </c>
      <c r="AH116" s="16">
        <v>0.13291475965194138</v>
      </c>
      <c r="AI116" s="16">
        <v>0.31096141239710146</v>
      </c>
      <c r="AJ116" s="16">
        <v>0.10441423913113224</v>
      </c>
      <c r="AK116" s="16">
        <v>0.22397321268401726</v>
      </c>
      <c r="AL116" s="16">
        <v>0.32564141833208721</v>
      </c>
      <c r="AM116" s="16">
        <v>0.34404844620101654</v>
      </c>
      <c r="AN116" s="16"/>
      <c r="AO116" s="16">
        <v>3.2715949219506546E-2</v>
      </c>
    </row>
    <row r="117" spans="1:41" x14ac:dyDescent="0.75">
      <c r="A117" s="2" t="s">
        <v>96</v>
      </c>
      <c r="B117" s="2" t="s">
        <v>96</v>
      </c>
      <c r="C117" s="2" t="str">
        <f t="shared" si="1"/>
        <v>Night_400m_Ostracod</v>
      </c>
      <c r="D117" s="4" t="s">
        <v>76</v>
      </c>
      <c r="E117" s="5" t="s">
        <v>77</v>
      </c>
      <c r="G117" s="6" t="s">
        <v>6</v>
      </c>
      <c r="H117" s="6">
        <v>4</v>
      </c>
      <c r="I117" s="6">
        <v>400</v>
      </c>
      <c r="K117" s="4" t="s">
        <v>26</v>
      </c>
      <c r="L117" s="4" t="s">
        <v>26</v>
      </c>
      <c r="M117" s="4" t="s">
        <v>75</v>
      </c>
      <c r="N117" s="28">
        <v>16.561666666666667</v>
      </c>
      <c r="O117" s="28">
        <v>4.3166666666666673</v>
      </c>
      <c r="P117" s="28">
        <v>-18.869</v>
      </c>
      <c r="Q117" s="28">
        <v>6.4786666666666664</v>
      </c>
      <c r="R117" s="28">
        <v>17.445666666666668</v>
      </c>
      <c r="S117" s="28">
        <v>13.048333333333334</v>
      </c>
      <c r="T117" s="28">
        <v>13.694666666666668</v>
      </c>
      <c r="U117" s="28">
        <v>13.458</v>
      </c>
      <c r="V117" s="28">
        <v>11.443666666666667</v>
      </c>
      <c r="W117" s="28">
        <v>4.2316666666666665</v>
      </c>
      <c r="X117" s="28">
        <v>14.872666666666666</v>
      </c>
      <c r="Y117" s="28">
        <v>-1.1083333333333334</v>
      </c>
      <c r="Z117" s="28"/>
      <c r="AA117" s="28">
        <v>1.8340000000000003</v>
      </c>
      <c r="AB117" s="16">
        <v>0.19640349623500383</v>
      </c>
      <c r="AC117" s="16">
        <v>0.11814539065631538</v>
      </c>
      <c r="AD117" s="16">
        <v>0.38970116756304413</v>
      </c>
      <c r="AE117" s="16">
        <v>0.21903043928489324</v>
      </c>
      <c r="AF117" s="16">
        <v>0.5023468257422683</v>
      </c>
      <c r="AG117" s="16">
        <v>0.24215972690216936</v>
      </c>
      <c r="AH117" s="16">
        <v>0.70420901253344748</v>
      </c>
      <c r="AI117" s="16">
        <v>5.5758407437803262E-2</v>
      </c>
      <c r="AJ117" s="16">
        <v>4.2665364563464321E-2</v>
      </c>
      <c r="AK117" s="16">
        <v>0.23008766445277612</v>
      </c>
      <c r="AL117" s="16">
        <v>0.23519424596136182</v>
      </c>
      <c r="AM117" s="16">
        <v>4.7815618090048063E-2</v>
      </c>
      <c r="AN117" s="16"/>
      <c r="AO117" s="16">
        <v>0.19183065448462613</v>
      </c>
    </row>
    <row r="118" spans="1:41" x14ac:dyDescent="0.75">
      <c r="A118" s="2" t="s">
        <v>96</v>
      </c>
      <c r="B118" s="2" t="s">
        <v>96</v>
      </c>
      <c r="C118" s="2" t="str">
        <f t="shared" si="1"/>
        <v>Night_1250m_Ostracod</v>
      </c>
      <c r="D118" s="4" t="s">
        <v>76</v>
      </c>
      <c r="E118" s="5" t="s">
        <v>77</v>
      </c>
      <c r="G118" s="6" t="s">
        <v>6</v>
      </c>
      <c r="H118" s="6">
        <v>1</v>
      </c>
      <c r="I118" s="6">
        <v>1250</v>
      </c>
      <c r="K118" s="4" t="s">
        <v>26</v>
      </c>
      <c r="L118" s="4" t="s">
        <v>26</v>
      </c>
      <c r="M118" s="4" t="s">
        <v>75</v>
      </c>
      <c r="N118" s="28">
        <v>18.637</v>
      </c>
      <c r="O118" s="28">
        <v>4.9089999999999998</v>
      </c>
      <c r="P118" s="28">
        <v>-20.910666666666668</v>
      </c>
      <c r="Q118" s="28">
        <v>6.588000000000001</v>
      </c>
      <c r="R118" s="28">
        <v>18.923999999999996</v>
      </c>
      <c r="S118" s="28">
        <v>15.112666666666668</v>
      </c>
      <c r="T118" s="28">
        <v>15.925000000000002</v>
      </c>
      <c r="U118" s="28">
        <v>14.786666666666667</v>
      </c>
      <c r="V118" s="28">
        <v>12.725333333333333</v>
      </c>
      <c r="W118" s="28">
        <v>4.1990000000000007</v>
      </c>
      <c r="X118" s="28">
        <v>16.308666666666667</v>
      </c>
      <c r="Y118" s="28">
        <v>-1.1316666666666668</v>
      </c>
      <c r="Z118" s="28"/>
      <c r="AA118" s="28">
        <v>1.7103333333333335</v>
      </c>
      <c r="AB118" s="16">
        <v>0.38973195917194109</v>
      </c>
      <c r="AC118" s="16">
        <v>0.39601641380124614</v>
      </c>
      <c r="AD118" s="16">
        <v>0.43926339858145946</v>
      </c>
      <c r="AE118" s="16">
        <v>0.36669196882397059</v>
      </c>
      <c r="AF118" s="16">
        <v>0.58007154731119037</v>
      </c>
      <c r="AG118" s="16">
        <v>0.34090223427448146</v>
      </c>
      <c r="AH118" s="16">
        <v>0.32913978793211851</v>
      </c>
      <c r="AI118" s="16">
        <v>0.12093524438034337</v>
      </c>
      <c r="AJ118" s="16">
        <v>9.0632959420585038E-2</v>
      </c>
      <c r="AK118" s="16">
        <v>7.6334788923530683E-2</v>
      </c>
      <c r="AL118" s="16">
        <v>0.16966535690391632</v>
      </c>
      <c r="AM118" s="16">
        <v>0.27375597405962304</v>
      </c>
      <c r="AN118" s="16"/>
      <c r="AO118" s="16">
        <v>0.26870491869955276</v>
      </c>
    </row>
    <row r="119" spans="1:41" x14ac:dyDescent="0.75">
      <c r="A119" s="2" t="s">
        <v>96</v>
      </c>
      <c r="B119" s="2" t="s">
        <v>96</v>
      </c>
      <c r="C119" s="2" t="str">
        <f t="shared" si="1"/>
        <v>Day_25m_Chaetognath</v>
      </c>
      <c r="D119" s="4" t="s">
        <v>76</v>
      </c>
      <c r="E119" s="5" t="s">
        <v>77</v>
      </c>
      <c r="G119" s="6" t="s">
        <v>5</v>
      </c>
      <c r="H119" s="6">
        <v>9</v>
      </c>
      <c r="I119" s="6">
        <v>25</v>
      </c>
      <c r="K119" s="4" t="s">
        <v>27</v>
      </c>
      <c r="L119" s="4" t="s">
        <v>27</v>
      </c>
      <c r="M119" s="4" t="s">
        <v>75</v>
      </c>
      <c r="N119" s="28">
        <v>16.039333333333332</v>
      </c>
      <c r="O119" s="28">
        <v>1.0819999999999999</v>
      </c>
      <c r="P119" s="28">
        <v>-16.594999999999999</v>
      </c>
      <c r="Q119" s="28">
        <v>2.1116666666666668</v>
      </c>
      <c r="R119" s="28">
        <v>15.879</v>
      </c>
      <c r="S119" s="28">
        <v>11.556666666666667</v>
      </c>
      <c r="T119" s="28">
        <v>11.250999999999999</v>
      </c>
      <c r="U119" s="28">
        <v>6.5330000000000004</v>
      </c>
      <c r="V119" s="28">
        <v>9.2230000000000008</v>
      </c>
      <c r="W119" s="28">
        <v>0.41466666666666668</v>
      </c>
      <c r="X119" s="28">
        <v>11.216333333333333</v>
      </c>
      <c r="Y119" s="28">
        <v>-3.4779999999999998</v>
      </c>
      <c r="Z119" s="28"/>
      <c r="AA119" s="28">
        <v>-0.64266666666666661</v>
      </c>
      <c r="AB119" s="16">
        <v>0.42218637274707632</v>
      </c>
      <c r="AC119" s="16">
        <v>0.15713370103195634</v>
      </c>
      <c r="AD119" s="16">
        <v>0.65544183571084258</v>
      </c>
      <c r="AE119" s="16">
        <v>0.42448242994655644</v>
      </c>
      <c r="AF119" s="16">
        <v>0.45476257541710596</v>
      </c>
      <c r="AG119" s="16">
        <v>0.20829146245905811</v>
      </c>
      <c r="AH119" s="16">
        <v>0.15960263155725202</v>
      </c>
      <c r="AI119" s="16">
        <v>0.15715915499900107</v>
      </c>
      <c r="AJ119" s="16">
        <v>7.1547187226332798E-2</v>
      </c>
      <c r="AK119" s="16">
        <v>0.18401449218290744</v>
      </c>
      <c r="AL119" s="16">
        <v>0.15761133630971255</v>
      </c>
      <c r="AM119" s="16">
        <v>0.29904013108611371</v>
      </c>
      <c r="AN119" s="16"/>
      <c r="AO119" s="16">
        <v>0.40946347008412548</v>
      </c>
    </row>
    <row r="120" spans="1:41" x14ac:dyDescent="0.75">
      <c r="A120" s="2" t="s">
        <v>96</v>
      </c>
      <c r="B120" s="2" t="s">
        <v>96</v>
      </c>
      <c r="C120" s="2" t="str">
        <f t="shared" si="1"/>
        <v>Night_400m_Chaetognath</v>
      </c>
      <c r="D120" s="4" t="s">
        <v>76</v>
      </c>
      <c r="E120" s="5" t="s">
        <v>77</v>
      </c>
      <c r="G120" s="6" t="s">
        <v>6</v>
      </c>
      <c r="H120" s="6">
        <v>4</v>
      </c>
      <c r="I120" s="6">
        <v>400</v>
      </c>
      <c r="K120" s="4" t="s">
        <v>27</v>
      </c>
      <c r="L120" s="4" t="s">
        <v>27</v>
      </c>
      <c r="M120" s="4" t="s">
        <v>75</v>
      </c>
      <c r="N120" s="28">
        <v>18.590333333333334</v>
      </c>
      <c r="O120" s="28">
        <v>2.9310000000000005</v>
      </c>
      <c r="P120" s="28">
        <v>-19.909999999999997</v>
      </c>
      <c r="Q120" s="28">
        <v>5.0533333333333337</v>
      </c>
      <c r="R120" s="28">
        <v>17.855</v>
      </c>
      <c r="S120" s="28">
        <v>14.629</v>
      </c>
      <c r="T120" s="28">
        <v>14.644</v>
      </c>
      <c r="U120" s="28">
        <v>8.5636666666666663</v>
      </c>
      <c r="V120" s="28">
        <v>11.743</v>
      </c>
      <c r="W120" s="28">
        <v>3.2463333333333337</v>
      </c>
      <c r="X120" s="28">
        <v>14.762</v>
      </c>
      <c r="Y120" s="28">
        <v>-1.4279999999999999</v>
      </c>
      <c r="Z120" s="28"/>
      <c r="AA120" s="28">
        <v>0.89866666666666672</v>
      </c>
      <c r="AB120" s="16">
        <v>8.6558265540232923E-2</v>
      </c>
      <c r="AC120" s="16">
        <v>8.5807925041921335E-2</v>
      </c>
      <c r="AD120" s="16">
        <v>0.7990168959415066</v>
      </c>
      <c r="AE120" s="16">
        <v>0.34458283958046032</v>
      </c>
      <c r="AF120" s="16">
        <v>0.74018173444094215</v>
      </c>
      <c r="AG120" s="16">
        <v>0.27550136115816187</v>
      </c>
      <c r="AH120" s="16">
        <v>0.30812172919156516</v>
      </c>
      <c r="AI120" s="16">
        <v>8.3284652447694604E-2</v>
      </c>
      <c r="AJ120" s="16">
        <v>0.25269744755339341</v>
      </c>
      <c r="AK120" s="16">
        <v>0.65662876371152834</v>
      </c>
      <c r="AL120" s="16">
        <v>0.62096457225835355</v>
      </c>
      <c r="AM120" s="16">
        <v>5.7688820407423881E-2</v>
      </c>
      <c r="AN120" s="16"/>
      <c r="AO120" s="16">
        <v>0.52314943690434512</v>
      </c>
    </row>
    <row r="121" spans="1:41" x14ac:dyDescent="0.75">
      <c r="A121" s="2" t="s">
        <v>96</v>
      </c>
      <c r="B121" s="2" t="s">
        <v>96</v>
      </c>
      <c r="C121" s="2" t="str">
        <f t="shared" si="1"/>
        <v>Night_1250m_Chaetognath</v>
      </c>
      <c r="D121" s="4" t="s">
        <v>76</v>
      </c>
      <c r="E121" s="5" t="s">
        <v>77</v>
      </c>
      <c r="G121" s="6" t="s">
        <v>6</v>
      </c>
      <c r="H121" s="6">
        <v>1</v>
      </c>
      <c r="I121" s="6">
        <v>1250</v>
      </c>
      <c r="K121" s="4" t="s">
        <v>27</v>
      </c>
      <c r="L121" s="4" t="s">
        <v>27</v>
      </c>
      <c r="M121" s="4" t="s">
        <v>75</v>
      </c>
      <c r="N121" s="28">
        <v>24.252749999999999</v>
      </c>
      <c r="O121" s="28">
        <v>9.480500000000001</v>
      </c>
      <c r="P121" s="28">
        <v>-25.950499999999998</v>
      </c>
      <c r="Q121" s="28">
        <v>12.321249999999999</v>
      </c>
      <c r="R121" s="28">
        <v>23.621250000000003</v>
      </c>
      <c r="S121" s="28">
        <v>21.044499999999999</v>
      </c>
      <c r="T121" s="28">
        <v>21.877499999999998</v>
      </c>
      <c r="U121" s="28">
        <v>13.792750000000002</v>
      </c>
      <c r="V121" s="28">
        <v>17.1175</v>
      </c>
      <c r="W121" s="28">
        <v>6.774</v>
      </c>
      <c r="X121" s="28">
        <v>21.182000000000002</v>
      </c>
      <c r="Y121" s="28">
        <v>0.70799999999999996</v>
      </c>
      <c r="Z121" s="28"/>
      <c r="AA121" s="28">
        <v>2.9657499999999999</v>
      </c>
      <c r="AB121" s="16">
        <v>0.5206120596631113</v>
      </c>
      <c r="AC121" s="16">
        <v>0.74772432531426092</v>
      </c>
      <c r="AD121" s="16">
        <v>0.53229346542422684</v>
      </c>
      <c r="AE121" s="16">
        <v>0.36707526476187413</v>
      </c>
      <c r="AF121" s="16">
        <v>0.77215774510998347</v>
      </c>
      <c r="AG121" s="16">
        <v>0.36987250055480869</v>
      </c>
      <c r="AH121" s="16">
        <v>0.5977454865297317</v>
      </c>
      <c r="AI121" s="16">
        <v>0.10804435817447043</v>
      </c>
      <c r="AJ121" s="16">
        <v>0.24563590942694061</v>
      </c>
      <c r="AK121" s="16">
        <v>0.53516913214422224</v>
      </c>
      <c r="AL121" s="16">
        <v>0.54656625094005473</v>
      </c>
      <c r="AM121" s="16">
        <v>0.44322454805662564</v>
      </c>
      <c r="AN121" s="16"/>
      <c r="AO121" s="16">
        <v>0.7698434364639779</v>
      </c>
    </row>
    <row r="122" spans="1:41" x14ac:dyDescent="0.75">
      <c r="A122" s="2" t="s">
        <v>95</v>
      </c>
      <c r="B122" s="2" t="s">
        <v>78</v>
      </c>
      <c r="C122" s="2" t="str">
        <f t="shared" si="1"/>
        <v>Bottle_7.5m_DOM</v>
      </c>
      <c r="D122" s="4" t="s">
        <v>76</v>
      </c>
      <c r="E122" s="5" t="s">
        <v>77</v>
      </c>
      <c r="G122" s="4" t="s">
        <v>97</v>
      </c>
      <c r="I122" s="4">
        <v>7.5</v>
      </c>
      <c r="K122" s="4" t="s">
        <v>78</v>
      </c>
      <c r="L122" s="4" t="s">
        <v>78</v>
      </c>
      <c r="M122" s="4" t="s">
        <v>79</v>
      </c>
      <c r="N122" s="33">
        <v>12.3</v>
      </c>
      <c r="O122" s="33">
        <v>3.8</v>
      </c>
      <c r="P122" s="33">
        <v>-0.3</v>
      </c>
      <c r="Q122" s="33">
        <v>1.8</v>
      </c>
      <c r="R122" s="33">
        <v>9</v>
      </c>
      <c r="S122" s="33">
        <v>4.0999999999999996</v>
      </c>
      <c r="T122" s="33">
        <v>3.8</v>
      </c>
      <c r="U122" s="33">
        <v>6.9</v>
      </c>
      <c r="V122" s="33">
        <v>6.2</v>
      </c>
      <c r="X122" s="33">
        <v>7.8</v>
      </c>
      <c r="Y122" s="33">
        <v>1.3</v>
      </c>
      <c r="AB122" s="23">
        <v>0.2</v>
      </c>
      <c r="AC122" s="23">
        <v>0.2</v>
      </c>
      <c r="AD122" s="23">
        <v>0.2</v>
      </c>
      <c r="AE122" s="23">
        <v>0.3</v>
      </c>
      <c r="AF122" s="23">
        <v>0.2</v>
      </c>
      <c r="AG122" s="23">
        <v>0.3</v>
      </c>
      <c r="AH122" s="23">
        <v>0.4</v>
      </c>
      <c r="AI122" s="23">
        <v>0.3</v>
      </c>
      <c r="AJ122" s="23">
        <v>0.2</v>
      </c>
      <c r="AL122" s="23">
        <v>0.2</v>
      </c>
      <c r="AM122" s="23">
        <v>0.8</v>
      </c>
    </row>
    <row r="123" spans="1:41" x14ac:dyDescent="0.75">
      <c r="A123" s="2" t="s">
        <v>95</v>
      </c>
      <c r="B123" s="2" t="s">
        <v>78</v>
      </c>
      <c r="C123" s="2" t="str">
        <f t="shared" si="1"/>
        <v>Bottle_7.5m_DOM</v>
      </c>
      <c r="D123" s="4" t="s">
        <v>76</v>
      </c>
      <c r="E123" s="5" t="s">
        <v>77</v>
      </c>
      <c r="G123" s="4" t="s">
        <v>97</v>
      </c>
      <c r="I123" s="4">
        <v>7.5</v>
      </c>
      <c r="K123" s="4" t="s">
        <v>78</v>
      </c>
      <c r="L123" s="4" t="s">
        <v>78</v>
      </c>
      <c r="M123" s="4" t="s">
        <v>79</v>
      </c>
      <c r="N123" s="33">
        <v>14</v>
      </c>
      <c r="O123" s="33">
        <v>3.4</v>
      </c>
      <c r="P123" s="33">
        <v>-0.6</v>
      </c>
      <c r="Q123" s="33">
        <v>3.5</v>
      </c>
      <c r="R123" s="33">
        <v>11.1</v>
      </c>
      <c r="S123" s="33">
        <v>5.3</v>
      </c>
      <c r="T123" s="33">
        <v>5.8</v>
      </c>
      <c r="U123" s="33">
        <v>7.9</v>
      </c>
      <c r="V123" s="33">
        <v>7.5</v>
      </c>
      <c r="X123" s="33">
        <v>9.3000000000000007</v>
      </c>
      <c r="Y123" s="33">
        <v>1.5</v>
      </c>
      <c r="AB123" s="23">
        <v>0.1</v>
      </c>
      <c r="AC123" s="23">
        <v>0.2</v>
      </c>
      <c r="AD123" s="23">
        <v>0.2</v>
      </c>
      <c r="AE123" s="23">
        <v>0.4</v>
      </c>
      <c r="AF123" s="23">
        <v>0.4</v>
      </c>
      <c r="AG123" s="23">
        <v>0.5</v>
      </c>
      <c r="AH123" s="23">
        <v>0.4</v>
      </c>
      <c r="AI123" s="23">
        <v>0.4</v>
      </c>
      <c r="AJ123" s="23">
        <v>0.6</v>
      </c>
      <c r="AL123" s="23">
        <v>0.3</v>
      </c>
      <c r="AM123" s="23">
        <v>0.9</v>
      </c>
    </row>
    <row r="124" spans="1:41" x14ac:dyDescent="0.75">
      <c r="A124" s="2" t="s">
        <v>95</v>
      </c>
      <c r="B124" s="2" t="s">
        <v>78</v>
      </c>
      <c r="C124" s="2" t="str">
        <f t="shared" si="1"/>
        <v>Bottle_400m_DOM</v>
      </c>
      <c r="D124" s="4" t="s">
        <v>76</v>
      </c>
      <c r="E124" s="5" t="s">
        <v>77</v>
      </c>
      <c r="G124" s="4" t="s">
        <v>97</v>
      </c>
      <c r="I124" s="4">
        <v>400</v>
      </c>
      <c r="K124" s="4" t="s">
        <v>78</v>
      </c>
      <c r="L124" s="4" t="s">
        <v>78</v>
      </c>
      <c r="M124" s="4" t="s">
        <v>79</v>
      </c>
      <c r="N124" s="33">
        <v>17.3</v>
      </c>
      <c r="O124" s="33">
        <v>5.5</v>
      </c>
      <c r="P124" s="33">
        <v>5.7</v>
      </c>
      <c r="Q124" s="33">
        <v>4.8</v>
      </c>
      <c r="R124" s="33">
        <v>12.6</v>
      </c>
      <c r="S124" s="33">
        <v>7.4</v>
      </c>
      <c r="T124" s="33">
        <v>7.1</v>
      </c>
      <c r="U124" s="33">
        <v>10.4</v>
      </c>
      <c r="V124" s="33">
        <v>8.6</v>
      </c>
      <c r="X124" s="33">
        <v>11.4</v>
      </c>
      <c r="Y124" s="33">
        <v>5.9</v>
      </c>
      <c r="AB124" s="23">
        <v>0.4</v>
      </c>
      <c r="AC124" s="23">
        <v>0.3</v>
      </c>
      <c r="AD124" s="23">
        <v>0.4</v>
      </c>
      <c r="AE124" s="23">
        <v>0.7</v>
      </c>
      <c r="AF124" s="23">
        <v>0.3</v>
      </c>
      <c r="AG124" s="23">
        <v>0.1</v>
      </c>
      <c r="AH124" s="23">
        <v>0.4</v>
      </c>
      <c r="AI124" s="23">
        <v>0.1</v>
      </c>
      <c r="AJ124" s="23">
        <v>0.4</v>
      </c>
      <c r="AL124" s="23">
        <v>0.1</v>
      </c>
      <c r="AM124" s="23">
        <v>1.1000000000000001</v>
      </c>
    </row>
    <row r="125" spans="1:41" x14ac:dyDescent="0.75">
      <c r="A125" s="2" t="s">
        <v>95</v>
      </c>
      <c r="B125" s="2" t="s">
        <v>78</v>
      </c>
      <c r="C125" s="2" t="str">
        <f t="shared" si="1"/>
        <v>Bottle_850m_DOM</v>
      </c>
      <c r="D125" s="4" t="s">
        <v>76</v>
      </c>
      <c r="E125" s="5" t="s">
        <v>77</v>
      </c>
      <c r="G125" s="4" t="s">
        <v>97</v>
      </c>
      <c r="I125" s="4">
        <v>850</v>
      </c>
      <c r="K125" s="4" t="s">
        <v>78</v>
      </c>
      <c r="L125" s="4" t="s">
        <v>78</v>
      </c>
      <c r="M125" s="4" t="s">
        <v>79</v>
      </c>
      <c r="N125" s="33">
        <v>18.899999999999999</v>
      </c>
      <c r="O125" s="33">
        <v>6</v>
      </c>
      <c r="P125" s="33">
        <v>6.6</v>
      </c>
      <c r="Q125" s="33">
        <v>5.4</v>
      </c>
      <c r="R125" s="33">
        <v>10</v>
      </c>
      <c r="S125" s="33">
        <v>8.5</v>
      </c>
      <c r="T125" s="33">
        <v>7.1</v>
      </c>
      <c r="U125" s="33">
        <v>10.5</v>
      </c>
      <c r="V125" s="33">
        <v>9.6</v>
      </c>
      <c r="X125" s="33">
        <v>9.6</v>
      </c>
      <c r="Y125" s="33">
        <v>7</v>
      </c>
      <c r="AA125" s="33">
        <v>4.5</v>
      </c>
      <c r="AB125" s="23">
        <v>0.5</v>
      </c>
      <c r="AC125" s="23">
        <v>0</v>
      </c>
      <c r="AD125" s="23">
        <v>0.2</v>
      </c>
      <c r="AE125" s="23">
        <v>0.2</v>
      </c>
      <c r="AF125" s="23">
        <v>1.6</v>
      </c>
      <c r="AG125" s="23">
        <v>0.9</v>
      </c>
      <c r="AH125" s="23">
        <v>0.8</v>
      </c>
      <c r="AI125" s="23">
        <v>0.1</v>
      </c>
      <c r="AJ125" s="23">
        <v>0.5</v>
      </c>
      <c r="AL125" s="23">
        <v>0.7</v>
      </c>
      <c r="AO125" s="23">
        <v>0.7</v>
      </c>
    </row>
    <row r="126" spans="1:41" x14ac:dyDescent="0.75">
      <c r="A126" s="2" t="s">
        <v>95</v>
      </c>
      <c r="B126" s="2" t="s">
        <v>78</v>
      </c>
      <c r="C126" s="2" t="str">
        <f t="shared" si="1"/>
        <v>Bottle_2500m_DOM</v>
      </c>
      <c r="D126" s="4" t="s">
        <v>76</v>
      </c>
      <c r="E126" s="5" t="s">
        <v>77</v>
      </c>
      <c r="G126" s="4" t="s">
        <v>97</v>
      </c>
      <c r="I126" s="4">
        <v>2500</v>
      </c>
      <c r="K126" s="4" t="s">
        <v>78</v>
      </c>
      <c r="L126" s="4" t="s">
        <v>78</v>
      </c>
      <c r="M126" s="4" t="s">
        <v>79</v>
      </c>
      <c r="N126" s="33">
        <v>18.5</v>
      </c>
      <c r="O126" s="33">
        <v>6.8</v>
      </c>
      <c r="P126" s="33">
        <v>6.3</v>
      </c>
      <c r="Q126" s="33">
        <v>6.1</v>
      </c>
      <c r="R126" s="33">
        <v>14</v>
      </c>
      <c r="S126" s="33">
        <v>5.9</v>
      </c>
      <c r="T126" s="33">
        <v>5</v>
      </c>
      <c r="U126" s="33">
        <v>10.9</v>
      </c>
      <c r="V126" s="33">
        <v>9.4</v>
      </c>
      <c r="X126" s="33">
        <v>10.7</v>
      </c>
      <c r="AB126" s="23">
        <v>0.2</v>
      </c>
      <c r="AC126" s="23">
        <v>0.6</v>
      </c>
      <c r="AD126" s="23">
        <v>0.6</v>
      </c>
      <c r="AE126" s="23">
        <v>0.6</v>
      </c>
      <c r="AF126" s="23">
        <v>0.2</v>
      </c>
      <c r="AG126" s="23">
        <v>0.6</v>
      </c>
      <c r="AH126" s="23">
        <v>0.1</v>
      </c>
      <c r="AI126" s="23">
        <v>0.3</v>
      </c>
      <c r="AJ126" s="23">
        <v>0.5</v>
      </c>
      <c r="AL126" s="23">
        <v>0.3</v>
      </c>
    </row>
    <row r="127" spans="1:41" x14ac:dyDescent="0.75">
      <c r="A127" s="2" t="s">
        <v>95</v>
      </c>
      <c r="B127" s="2" t="s">
        <v>78</v>
      </c>
      <c r="C127" s="2" t="str">
        <f t="shared" si="1"/>
        <v>Bottle_7.5m_DOM</v>
      </c>
      <c r="D127" s="4" t="s">
        <v>76</v>
      </c>
      <c r="E127" s="5" t="s">
        <v>77</v>
      </c>
      <c r="G127" s="4" t="s">
        <v>97</v>
      </c>
      <c r="I127" s="4">
        <v>7.5</v>
      </c>
      <c r="K127" s="4" t="s">
        <v>78</v>
      </c>
      <c r="L127" s="4" t="s">
        <v>78</v>
      </c>
      <c r="M127" s="4" t="s">
        <v>80</v>
      </c>
      <c r="N127" s="33">
        <v>7.8</v>
      </c>
      <c r="O127" s="33">
        <v>4.3</v>
      </c>
      <c r="P127" s="33">
        <v>-0.3</v>
      </c>
      <c r="Q127" s="33">
        <v>-0.4</v>
      </c>
      <c r="R127" s="33">
        <v>7</v>
      </c>
      <c r="S127" s="33">
        <v>4.5</v>
      </c>
      <c r="T127" s="33">
        <v>7.1</v>
      </c>
      <c r="U127" s="33">
        <v>8.8000000000000007</v>
      </c>
      <c r="V127" s="33">
        <v>5</v>
      </c>
      <c r="X127" s="33">
        <v>5.8</v>
      </c>
      <c r="Y127" s="33">
        <v>1.9</v>
      </c>
      <c r="AB127" s="23">
        <v>0.9</v>
      </c>
      <c r="AC127" s="23">
        <v>0.5</v>
      </c>
      <c r="AD127" s="23">
        <v>0.6</v>
      </c>
      <c r="AE127" s="23">
        <v>1.2</v>
      </c>
      <c r="AF127" s="23">
        <v>0.3</v>
      </c>
      <c r="AG127" s="23">
        <v>0.3</v>
      </c>
      <c r="AH127" s="23">
        <v>0.8</v>
      </c>
      <c r="AI127" s="23">
        <v>0.3</v>
      </c>
      <c r="AJ127" s="23">
        <v>0.1</v>
      </c>
      <c r="AL127" s="23">
        <v>0.3</v>
      </c>
      <c r="AM127" s="23">
        <v>0.7</v>
      </c>
    </row>
    <row r="128" spans="1:41" x14ac:dyDescent="0.75">
      <c r="A128" s="2" t="s">
        <v>95</v>
      </c>
      <c r="B128" s="2" t="s">
        <v>78</v>
      </c>
      <c r="C128" s="2" t="str">
        <f t="shared" si="1"/>
        <v>Bottle_7.5m_DOM</v>
      </c>
      <c r="D128" s="4" t="s">
        <v>76</v>
      </c>
      <c r="E128" s="5" t="s">
        <v>77</v>
      </c>
      <c r="G128" s="4" t="s">
        <v>97</v>
      </c>
      <c r="I128" s="4">
        <v>7.5</v>
      </c>
      <c r="K128" s="4" t="s">
        <v>78</v>
      </c>
      <c r="L128" s="4" t="s">
        <v>78</v>
      </c>
      <c r="M128" s="4" t="s">
        <v>80</v>
      </c>
      <c r="N128" s="33">
        <v>8.5</v>
      </c>
      <c r="O128" s="33">
        <v>4.3</v>
      </c>
      <c r="P128" s="33">
        <v>1.2</v>
      </c>
      <c r="Q128" s="33">
        <v>4.2</v>
      </c>
      <c r="S128" s="33">
        <v>5.7</v>
      </c>
      <c r="T128" s="33">
        <v>6.2</v>
      </c>
      <c r="U128" s="33">
        <v>9.8000000000000007</v>
      </c>
      <c r="V128" s="33">
        <v>6.4</v>
      </c>
      <c r="X128" s="33">
        <v>8.8000000000000007</v>
      </c>
      <c r="Y128" s="33">
        <v>3.3</v>
      </c>
      <c r="AB128" s="23">
        <v>0.2</v>
      </c>
      <c r="AC128" s="23">
        <v>0.4</v>
      </c>
      <c r="AD128" s="23">
        <v>0.4</v>
      </c>
      <c r="AE128" s="23">
        <v>0.9</v>
      </c>
      <c r="AG128" s="23">
        <v>0.8</v>
      </c>
      <c r="AH128" s="23">
        <v>0.3</v>
      </c>
      <c r="AI128" s="23">
        <v>0.5</v>
      </c>
      <c r="AJ128" s="23">
        <v>0.3</v>
      </c>
      <c r="AL128" s="23">
        <v>0.5</v>
      </c>
      <c r="AM128" s="23">
        <v>0.5</v>
      </c>
    </row>
    <row r="129" spans="1:41" x14ac:dyDescent="0.75">
      <c r="A129" s="2" t="s">
        <v>95</v>
      </c>
      <c r="B129" s="2" t="s">
        <v>78</v>
      </c>
      <c r="C129" s="2" t="str">
        <f t="shared" si="1"/>
        <v>Bottle_400m_DOM</v>
      </c>
      <c r="D129" s="4" t="s">
        <v>76</v>
      </c>
      <c r="E129" s="5" t="s">
        <v>77</v>
      </c>
      <c r="G129" s="4" t="s">
        <v>97</v>
      </c>
      <c r="I129" s="4">
        <v>400</v>
      </c>
      <c r="K129" s="4" t="s">
        <v>78</v>
      </c>
      <c r="L129" s="4" t="s">
        <v>78</v>
      </c>
      <c r="M129" s="4" t="s">
        <v>80</v>
      </c>
      <c r="N129" s="33">
        <v>8.5</v>
      </c>
      <c r="O129" s="33">
        <v>4.5</v>
      </c>
      <c r="P129" s="33">
        <v>1.3</v>
      </c>
      <c r="Q129" s="33">
        <v>2.4</v>
      </c>
      <c r="R129" s="33">
        <v>9.1</v>
      </c>
      <c r="S129" s="33">
        <v>4.9000000000000004</v>
      </c>
      <c r="T129" s="33">
        <v>8</v>
      </c>
      <c r="U129" s="33">
        <v>9.6999999999999993</v>
      </c>
      <c r="V129" s="33">
        <v>5.6</v>
      </c>
      <c r="X129" s="33">
        <v>9.3000000000000007</v>
      </c>
      <c r="Y129" s="33">
        <v>0.9</v>
      </c>
      <c r="AA129" s="33">
        <v>2.1</v>
      </c>
      <c r="AB129" s="23">
        <v>0.1</v>
      </c>
      <c r="AC129" s="23">
        <v>0.1</v>
      </c>
      <c r="AD129" s="23">
        <v>0.4</v>
      </c>
      <c r="AE129" s="23">
        <v>0.7</v>
      </c>
      <c r="AF129" s="23">
        <v>0.5</v>
      </c>
      <c r="AG129" s="23">
        <v>0.4</v>
      </c>
      <c r="AH129" s="23">
        <v>0.2</v>
      </c>
      <c r="AI129" s="23">
        <v>0.3</v>
      </c>
      <c r="AJ129" s="23">
        <v>0.1</v>
      </c>
      <c r="AL129" s="23">
        <v>0.4</v>
      </c>
      <c r="AM129" s="23">
        <v>1.4</v>
      </c>
      <c r="AO129" s="23">
        <v>3.9</v>
      </c>
    </row>
    <row r="130" spans="1:41" x14ac:dyDescent="0.75">
      <c r="A130" s="2" t="s">
        <v>95</v>
      </c>
      <c r="B130" s="2" t="s">
        <v>78</v>
      </c>
      <c r="C130" s="2" t="str">
        <f t="shared" si="1"/>
        <v>Bottle_850m_DOM</v>
      </c>
      <c r="D130" s="4" t="s">
        <v>76</v>
      </c>
      <c r="E130" s="5" t="s">
        <v>77</v>
      </c>
      <c r="G130" s="4" t="s">
        <v>97</v>
      </c>
      <c r="I130" s="4">
        <v>850</v>
      </c>
      <c r="K130" s="4" t="s">
        <v>78</v>
      </c>
      <c r="L130" s="4" t="s">
        <v>78</v>
      </c>
      <c r="M130" s="4" t="s">
        <v>80</v>
      </c>
      <c r="N130" s="33">
        <v>8.6999999999999993</v>
      </c>
      <c r="O130" s="33">
        <v>6</v>
      </c>
      <c r="P130" s="33">
        <v>-0.1</v>
      </c>
      <c r="Q130" s="33">
        <v>2.2999999999999998</v>
      </c>
      <c r="R130" s="33">
        <v>7.9</v>
      </c>
      <c r="S130" s="33">
        <v>4.7</v>
      </c>
      <c r="T130" s="33">
        <v>5.4</v>
      </c>
      <c r="U130" s="33">
        <v>9.4</v>
      </c>
      <c r="V130" s="33">
        <v>5.6</v>
      </c>
      <c r="X130" s="33">
        <v>8.3000000000000007</v>
      </c>
      <c r="Y130" s="33">
        <v>2.4</v>
      </c>
      <c r="AA130" s="33">
        <v>4.5</v>
      </c>
      <c r="AB130" s="23">
        <v>0</v>
      </c>
      <c r="AC130" s="23">
        <v>0.1</v>
      </c>
      <c r="AD130" s="23">
        <v>0.4</v>
      </c>
      <c r="AE130" s="23">
        <v>0.8</v>
      </c>
      <c r="AF130" s="23">
        <v>0.9</v>
      </c>
      <c r="AG130" s="23">
        <v>0.9</v>
      </c>
      <c r="AH130" s="23">
        <v>0.8</v>
      </c>
      <c r="AI130" s="23">
        <v>0.5</v>
      </c>
      <c r="AJ130" s="23">
        <v>0.3</v>
      </c>
      <c r="AL130" s="23">
        <v>0.3</v>
      </c>
      <c r="AM130" s="23">
        <v>0.6</v>
      </c>
      <c r="AO130" s="23">
        <v>3.8</v>
      </c>
    </row>
    <row r="131" spans="1:41" x14ac:dyDescent="0.75">
      <c r="A131" s="2" t="s">
        <v>95</v>
      </c>
      <c r="B131" s="2" t="s">
        <v>78</v>
      </c>
      <c r="C131" s="2" t="str">
        <f t="shared" ref="C131" si="2">_xlfn.CONCAT(G131,"_",I131,"m_",K131)</f>
        <v>Bottle_2500m_DOM</v>
      </c>
      <c r="D131" s="4" t="s">
        <v>76</v>
      </c>
      <c r="E131" s="5" t="s">
        <v>77</v>
      </c>
      <c r="G131" s="4" t="s">
        <v>97</v>
      </c>
      <c r="I131" s="4">
        <v>2500</v>
      </c>
      <c r="K131" s="4" t="s">
        <v>78</v>
      </c>
      <c r="L131" s="4" t="s">
        <v>78</v>
      </c>
      <c r="M131" s="4" t="s">
        <v>80</v>
      </c>
      <c r="N131" s="33">
        <v>8.6</v>
      </c>
      <c r="O131" s="33">
        <v>5</v>
      </c>
      <c r="P131" s="33">
        <v>-0.4</v>
      </c>
      <c r="Q131" s="33">
        <v>2.6</v>
      </c>
      <c r="R131" s="33">
        <v>9.5</v>
      </c>
      <c r="S131" s="33">
        <v>4.5999999999999996</v>
      </c>
      <c r="T131" s="33">
        <v>6.7</v>
      </c>
      <c r="U131" s="33">
        <v>9.5</v>
      </c>
      <c r="V131" s="33">
        <v>5.8</v>
      </c>
      <c r="X131" s="33">
        <v>8.9</v>
      </c>
      <c r="Y131" s="33">
        <v>2.4</v>
      </c>
      <c r="AB131" s="23">
        <v>0.1</v>
      </c>
      <c r="AC131" s="23">
        <v>0.2</v>
      </c>
      <c r="AD131" s="23">
        <v>0.4</v>
      </c>
      <c r="AE131" s="23">
        <v>0.3</v>
      </c>
      <c r="AF131" s="23">
        <v>0.3</v>
      </c>
      <c r="AG131" s="23">
        <v>0.4</v>
      </c>
      <c r="AH131" s="23">
        <v>0.6</v>
      </c>
      <c r="AI131" s="23">
        <v>0.3</v>
      </c>
      <c r="AJ131" s="23">
        <v>0.1</v>
      </c>
      <c r="AL131" s="23">
        <v>0.2</v>
      </c>
      <c r="AM131" s="23">
        <v>0.8</v>
      </c>
    </row>
  </sheetData>
  <autoFilter ref="D1:AO241" xr:uid="{4BEC99D0-A8D3-4322-B484-F350FD3E0C65}"/>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2022-03-29T23:47:35Z</dcterms:created>
  <dcterms:modified xsi:type="dcterms:W3CDTF">2025-06-04T04:06:40Z</dcterms:modified>
</cp:coreProperties>
</file>